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uationCoefficients" sheetId="1" state="visible" r:id="rId3"/>
    <sheet name="BulkModulus" sheetId="2" state="visible" r:id="rId4"/>
    <sheet name="Density" sheetId="3" state="visible" r:id="rId5"/>
    <sheet name="SpeedOfSound" sheetId="4" state="visible" r:id="rId6"/>
    <sheet name="Viscosities" sheetId="5" state="visible" r:id="rId7"/>
    <sheet name="YoungsModulu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<sst xmlns="http://schemas.openxmlformats.org/spreadsheetml/2006/main" count="128" uniqueCount="60">
  <si>
    <t xml:space="preserve">Attenuation coefficients</t>
  </si>
  <si>
    <t xml:space="preserve">Values are averaged over 5 runs from 4 samples of each sample group   </t>
  </si>
  <si>
    <t xml:space="preserve">10% PEGDA (60 s curing time) attenuation coefficients (dB/cm) </t>
  </si>
  <si>
    <t xml:space="preserve">freq (MHz)</t>
  </si>
  <si>
    <t xml:space="preserve"> 0% GelMA</t>
  </si>
  <si>
    <t xml:space="preserve">Error 0% GelMA</t>
  </si>
  <si>
    <t xml:space="preserve">5% GelMA</t>
  </si>
  <si>
    <t xml:space="preserve">Error 5% GelMA</t>
  </si>
  <si>
    <t xml:space="preserve">10% GelMA</t>
  </si>
  <si>
    <t xml:space="preserve">Error 10% GelMA</t>
  </si>
  <si>
    <t xml:space="preserve">Bulk Modulus</t>
  </si>
  <si>
    <t xml:space="preserve">Avg Speed of Sound</t>
  </si>
  <si>
    <t xml:space="preserve">Standard deviation</t>
  </si>
  <si>
    <t xml:space="preserve">Density of hydrogel </t>
  </si>
  <si>
    <t xml:space="preserve">Bulk modulus</t>
  </si>
  <si>
    <t xml:space="preserve">Standard deviation  </t>
  </si>
  <si>
    <t xml:space="preserve">m/s</t>
  </si>
  <si>
    <t xml:space="preserve">g/cm^3</t>
  </si>
  <si>
    <t xml:space="preserve">kg/m^3</t>
  </si>
  <si>
    <t xml:space="preserve">GPa</t>
  </si>
  <si>
    <t xml:space="preserve">10% PEGDA</t>
  </si>
  <si>
    <t xml:space="preserve">10% PEGDA + 5% GelMA</t>
  </si>
  <si>
    <t xml:space="preserve">10% PEGDA + 10% GelMA</t>
  </si>
  <si>
    <t xml:space="preserve">Density calculations using the buoyancy principle</t>
  </si>
  <si>
    <t xml:space="preserve">These measurements were performed on PEGDA  samples (60 s curing time)  hydrated in pure water. The fluids used for immersing the samples were water (density of 1 g/mL) and ethyl alcohol (density of 0.789 g/mL). </t>
  </si>
  <si>
    <t xml:space="preserve">With wire </t>
  </si>
  <si>
    <t xml:space="preserve">Without wire </t>
  </si>
  <si>
    <t xml:space="preserve">Sample type</t>
  </si>
  <si>
    <t xml:space="preserve">Density of fluid</t>
  </si>
  <si>
    <t xml:space="preserve">Object weight</t>
  </si>
  <si>
    <t xml:space="preserve">Immersed object weight</t>
  </si>
  <si>
    <t xml:space="preserve">Wire weight</t>
  </si>
  <si>
    <t xml:space="preserve">Immersed wire weight</t>
  </si>
  <si>
    <t xml:space="preserve">Density of object</t>
  </si>
  <si>
    <t xml:space="preserve">Avg density</t>
  </si>
  <si>
    <t xml:space="preserve">p_f (g/mL)</t>
  </si>
  <si>
    <t xml:space="preserve">m_0 (g) </t>
  </si>
  <si>
    <t xml:space="preserve">m_i (g) </t>
  </si>
  <si>
    <t xml:space="preserve">(g) </t>
  </si>
  <si>
    <t xml:space="preserve">p_0 (g/mL) </t>
  </si>
  <si>
    <t xml:space="preserve">g/mL</t>
  </si>
  <si>
    <t xml:space="preserve">Speed of sound from acoustic measurements</t>
  </si>
  <si>
    <t xml:space="preserve">These calculations were performed using MATLAB. </t>
  </si>
  <si>
    <t xml:space="preserve">Speed of sound (m/s) </t>
  </si>
  <si>
    <t xml:space="preserve">Number of runs</t>
  </si>
  <si>
    <t xml:space="preserve">Viscosities</t>
  </si>
  <si>
    <t xml:space="preserve">10% PEGDA 60 s curing time</t>
  </si>
  <si>
    <t xml:space="preserve">0% GelMA</t>
  </si>
  <si>
    <t xml:space="preserve">Shear rate</t>
  </si>
  <si>
    <t xml:space="preserve">Viscosity</t>
  </si>
  <si>
    <t xml:space="preserve">1/s</t>
  </si>
  <si>
    <t xml:space="preserve">Pa.s</t>
  </si>
  <si>
    <t xml:space="preserve">Young's modulus values from compression testing data </t>
  </si>
  <si>
    <t xml:space="preserve">Strains of 1-5% were considered to be in the linear regime</t>
  </si>
  <si>
    <t xml:space="preserve">10% PEGDA (60 s curing time)</t>
  </si>
  <si>
    <t xml:space="preserve">Young's moduli (kPa)</t>
  </si>
  <si>
    <t xml:space="preserve"># Runs</t>
  </si>
  <si>
    <t xml:space="preserve">Avg (kPa)</t>
  </si>
  <si>
    <t xml:space="preserve">Standard Deviation</t>
  </si>
  <si>
    <t xml:space="preserve">GelMA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</si>
</sst>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m/d/yyyy"/>
    <numFmt numFmtId="167" formatCode="0.00"/>
  </numFmts>
  <fonts count="13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0"/>
      <name val="Aptos Narrow"/>
      <family val="2"/>
      <charset val="1"/>
    </font>
    <font>
      <sz val="12"/>
      <color theme="1"/>
      <name val="Arial"/>
      <family val="2"/>
      <charset val="1"/>
    </font>
    <font>
      <b val="true"/>
      <sz val="12"/>
      <color theme="1"/>
      <name val="Aptos Narrow"/>
      <family val="2"/>
      <charset val="1"/>
    </font>
    <font>
      <sz val="12"/>
      <color rgb="FF000000"/>
      <name val="Aptos Narrow"/>
      <family val="2"/>
      <charset val="1"/>
    </font>
    <font>
      <b val="true"/>
      <sz val="12"/>
      <color theme="0"/>
      <name val="Aptos Narrow"/>
      <family val="2"/>
      <charset val="1"/>
    </font>
    <font>
      <b val="true"/>
      <sz val="16"/>
      <color theme="1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b val="true"/>
      <sz val="12"/>
      <color theme="1"/>
      <name val="Aptos Narrow"/>
      <family val="0"/>
      <charset val="1"/>
    </font>
    <font>
      <sz val="11"/>
      <color theme="1"/>
      <name val="Aptos Narrow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0" tint="-0.5"/>
        <bgColor rgb="FF7F7F7F"/>
      </patternFill>
    </fill>
    <fill>
      <patternFill patternType="solid">
        <fgColor theme="2" tint="-0.25"/>
        <bgColor rgb="FFBFBFBF"/>
      </patternFill>
    </fill>
    <fill>
      <patternFill patternType="solid">
        <fgColor rgb="FFE7E6E6"/>
        <bgColor rgb="FFE8E8E8"/>
      </patternFill>
    </fill>
    <fill>
      <patternFill patternType="solid">
        <fgColor rgb="FFD0CECE"/>
        <bgColor rgb="FFD1D1D1"/>
      </patternFill>
    </fill>
    <fill>
      <patternFill patternType="solid">
        <fgColor theme="0" tint="-0.15"/>
        <bgColor rgb="FFD1D1D1"/>
      </patternFill>
    </fill>
    <fill>
      <patternFill patternType="solid">
        <fgColor theme="0" tint="-0.25"/>
        <bgColor rgb="FFD0CECE"/>
      </patternFill>
    </fill>
    <fill>
      <patternFill patternType="solid">
        <fgColor theme="1"/>
        <bgColor rgb="FF003300"/>
      </patternFill>
    </fill>
    <fill>
      <patternFill patternType="solid">
        <fgColor theme="1" tint="0.4999"/>
        <bgColor rgb="FF808080"/>
      </patternFill>
    </fill>
    <fill>
      <patternFill patternType="solid">
        <fgColor theme="2"/>
        <bgColor rgb="FFE7E6E6"/>
      </patternFill>
    </fill>
    <fill>
      <patternFill patternType="solid">
        <fgColor theme="2" tint="-0.1"/>
        <bgColor rgb="FFD0CECE"/>
      </patternFill>
    </fill>
    <fill>
      <patternFill patternType="solid">
        <fgColor theme="2" tint="-0.75"/>
        <bgColor rgb="FF404040"/>
      </patternFill>
    </fill>
    <fill>
      <patternFill patternType="solid">
        <fgColor theme="1" tint="0.2499"/>
        <bgColor rgb="FF3A3A3A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EAEAE"/>
      <rgbColor rgb="FF993366"/>
      <rgbColor rgb="FFE8E8E8"/>
      <rgbColor rgb="FFE7E6E6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D0CECE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404040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0.5546875" defaultRowHeight="15.75" customHeight="false" zeroHeight="false" outlineLevelRow="0" outlineLevelCol="0"/>
  <cols>
    <col collapsed="false" customWidth="true" hidden="false" outlineLevel="0" max="3" min="3" style="0" width="15.17"/>
    <col collapsed="false" customWidth="true" hidden="false" outlineLevel="0" max="5" min="5" style="0" width="14.16"/>
    <col collapsed="false" customWidth="true" hidden="false" outlineLevel="0" max="7" min="7" style="0" width="15.6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.7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5.75" hidden="false" customHeight="false" outlineLevel="0" collapsed="false">
      <c r="A5" s="0" t="s">
        <v>3</v>
      </c>
      <c r="B5" s="4" t="s">
        <v>4</v>
      </c>
      <c r="C5" s="5" t="s">
        <v>5</v>
      </c>
      <c r="D5" s="6" t="s">
        <v>6</v>
      </c>
      <c r="E5" s="6" t="s">
        <v>7</v>
      </c>
      <c r="F5" s="4" t="s">
        <v>8</v>
      </c>
      <c r="G5" s="5" t="s">
        <v>9</v>
      </c>
    </row>
    <row r="6" customFormat="false" ht="15.75" hidden="false" customHeight="false" outlineLevel="0" collapsed="false">
      <c r="A6" s="0" t="n">
        <v>1.25</v>
      </c>
      <c r="B6" s="7" t="n">
        <v>0.1890575</v>
      </c>
      <c r="C6" s="8" t="n">
        <v>0.0465446025334839</v>
      </c>
      <c r="D6" s="0" t="n">
        <v>0.329596</v>
      </c>
      <c r="E6" s="0" t="n">
        <v>0.215427698381615</v>
      </c>
      <c r="F6" s="7" t="n">
        <v>0.375734</v>
      </c>
      <c r="G6" s="8" t="n">
        <v>0.237843161936601</v>
      </c>
    </row>
    <row r="7" customFormat="false" ht="15.75" hidden="false" customHeight="false" outlineLevel="0" collapsed="false">
      <c r="A7" s="0" t="n">
        <v>1.5</v>
      </c>
      <c r="B7" s="7" t="n">
        <v>0.2979275</v>
      </c>
      <c r="C7" s="8" t="n">
        <v>0.0388327279280416</v>
      </c>
      <c r="D7" s="0" t="n">
        <v>0.540068</v>
      </c>
      <c r="E7" s="0" t="n">
        <v>0.255881661652413</v>
      </c>
      <c r="F7" s="7" t="n">
        <v>0.7025</v>
      </c>
      <c r="G7" s="8" t="n">
        <v>0.363733843421257</v>
      </c>
    </row>
    <row r="8" customFormat="false" ht="15.75" hidden="false" customHeight="false" outlineLevel="0" collapsed="false">
      <c r="A8" s="0" t="n">
        <v>1.75</v>
      </c>
      <c r="B8" s="7" t="n">
        <v>0.322165</v>
      </c>
      <c r="C8" s="8" t="n">
        <v>0.0859246295695635</v>
      </c>
      <c r="D8" s="0" t="n">
        <v>0.661504</v>
      </c>
      <c r="E8" s="0" t="n">
        <v>0.275636070988541</v>
      </c>
      <c r="F8" s="7" t="n">
        <v>0.78346</v>
      </c>
      <c r="G8" s="8" t="n">
        <v>0.264099906474803</v>
      </c>
    </row>
    <row r="9" customFormat="false" ht="15.75" hidden="false" customHeight="false" outlineLevel="0" collapsed="false">
      <c r="A9" s="0" t="n">
        <v>2</v>
      </c>
      <c r="B9" s="7" t="n">
        <v>0.380525</v>
      </c>
      <c r="C9" s="8" t="n">
        <v>0.0668076994065803</v>
      </c>
      <c r="D9" s="0" t="n">
        <v>0.705434</v>
      </c>
      <c r="E9" s="0" t="n">
        <v>0.214198981743612</v>
      </c>
      <c r="F9" s="7" t="n">
        <v>0.846316</v>
      </c>
      <c r="G9" s="8" t="n">
        <v>0.291523026586237</v>
      </c>
    </row>
    <row r="10" customFormat="false" ht="15.75" hidden="false" customHeight="false" outlineLevel="0" collapsed="false">
      <c r="A10" s="0" t="n">
        <v>2.25</v>
      </c>
      <c r="B10" s="7" t="n">
        <v>0.446485</v>
      </c>
      <c r="C10" s="8" t="n">
        <v>0.112567012782016</v>
      </c>
      <c r="D10" s="0" t="n">
        <v>0.776982</v>
      </c>
      <c r="E10" s="0" t="n">
        <v>0.236147110230043</v>
      </c>
      <c r="F10" s="7" t="n">
        <v>0.910112</v>
      </c>
      <c r="G10" s="8" t="n">
        <v>0.239880349486989</v>
      </c>
    </row>
    <row r="11" customFormat="false" ht="15.75" hidden="false" customHeight="false" outlineLevel="0" collapsed="false">
      <c r="A11" s="0" t="n">
        <v>2.5</v>
      </c>
      <c r="B11" s="7" t="n">
        <v>0.645435</v>
      </c>
      <c r="C11" s="8" t="n">
        <v>0.129672541555</v>
      </c>
      <c r="D11" s="0" t="n">
        <v>0.9687</v>
      </c>
      <c r="E11" s="0" t="n">
        <v>0.268589644997717</v>
      </c>
      <c r="F11" s="7" t="n">
        <v>1.133462</v>
      </c>
      <c r="G11" s="8" t="n">
        <v>0.278899302293856</v>
      </c>
    </row>
    <row r="12" customFormat="false" ht="15.75" hidden="false" customHeight="false" outlineLevel="0" collapsed="false">
      <c r="A12" s="0" t="n">
        <v>2.75</v>
      </c>
      <c r="B12" s="7" t="n">
        <v>0.765185</v>
      </c>
      <c r="C12" s="8" t="n">
        <v>0.149336375006226</v>
      </c>
      <c r="D12" s="0" t="n">
        <v>1.119962</v>
      </c>
      <c r="E12" s="0" t="n">
        <v>0.294586306572455</v>
      </c>
      <c r="F12" s="7" t="n">
        <v>1.42052</v>
      </c>
      <c r="G12" s="8" t="n">
        <v>0.285808444591829</v>
      </c>
    </row>
    <row r="13" customFormat="false" ht="15.75" hidden="false" customHeight="false" outlineLevel="0" collapsed="false">
      <c r="A13" s="0" t="n">
        <v>3</v>
      </c>
      <c r="B13" s="7" t="n">
        <v>0.955045</v>
      </c>
      <c r="C13" s="8" t="n">
        <v>0.137400586243292</v>
      </c>
      <c r="D13" s="0" t="n">
        <v>1.25044</v>
      </c>
      <c r="E13" s="0" t="n">
        <v>0.353099749362697</v>
      </c>
      <c r="F13" s="7" t="n">
        <v>1.610386</v>
      </c>
      <c r="G13" s="8" t="n">
        <v>0.397443677116646</v>
      </c>
    </row>
    <row r="14" customFormat="false" ht="15.75" hidden="false" customHeight="false" outlineLevel="0" collapsed="false">
      <c r="A14" s="0" t="n">
        <v>3.25</v>
      </c>
      <c r="B14" s="7" t="n">
        <v>1.13048</v>
      </c>
      <c r="C14" s="8" t="n">
        <v>0.214309972392016</v>
      </c>
      <c r="D14" s="0" t="n">
        <v>1.3987</v>
      </c>
      <c r="E14" s="0" t="n">
        <v>0.42324026273501</v>
      </c>
      <c r="F14" s="7" t="n">
        <v>1.87876</v>
      </c>
      <c r="G14" s="8" t="n">
        <v>0.369867804762729</v>
      </c>
    </row>
    <row r="15" customFormat="false" ht="15.75" hidden="false" customHeight="false" outlineLevel="0" collapsed="false">
      <c r="A15" s="0" t="n">
        <v>3.5</v>
      </c>
      <c r="B15" s="7" t="n">
        <v>1.285075</v>
      </c>
      <c r="C15" s="8" t="n">
        <v>0.19565228297501</v>
      </c>
      <c r="D15" s="0" t="n">
        <v>1.6384</v>
      </c>
      <c r="E15" s="0" t="n">
        <v>0.527871040122491</v>
      </c>
      <c r="F15" s="7" t="n">
        <v>2.03812</v>
      </c>
      <c r="G15" s="8" t="n">
        <v>0.391793781216598</v>
      </c>
    </row>
    <row r="16" customFormat="false" ht="15.75" hidden="false" customHeight="false" outlineLevel="0" collapsed="false">
      <c r="A16" s="0" t="n">
        <v>3.75</v>
      </c>
      <c r="B16" s="9" t="n">
        <v>1.55155</v>
      </c>
      <c r="C16" s="10" t="n">
        <v>0.201776600889863</v>
      </c>
      <c r="D16" s="0" t="n">
        <v>1.95044</v>
      </c>
      <c r="E16" s="0" t="n">
        <v>0.594973018715975</v>
      </c>
      <c r="F16" s="9" t="n">
        <v>2.3911</v>
      </c>
      <c r="G16" s="10" t="n">
        <v>0.445048025498374</v>
      </c>
    </row>
  </sheetData>
  <mergeCells count="3">
    <mergeCell ref="A1:G1"/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0.5546875" defaultRowHeight="15.75" customHeight="false" zeroHeight="false" outlineLevelRow="0" outlineLevelCol="0"/>
  <cols>
    <col collapsed="false" customWidth="true" hidden="false" outlineLevel="0" max="1" min="1" style="0" width="21.83"/>
  </cols>
  <sheetData>
    <row r="1" customFormat="false" ht="19.7" hidden="false" customHeight="false" outlineLevel="0" collapsed="false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28.9" hidden="false" customHeight="true" outlineLevel="0" collapsed="false">
      <c r="B3" s="11" t="s">
        <v>11</v>
      </c>
      <c r="C3" s="12" t="s">
        <v>12</v>
      </c>
      <c r="D3" s="13" t="s">
        <v>13</v>
      </c>
      <c r="E3" s="12" t="s">
        <v>12</v>
      </c>
      <c r="F3" s="13" t="s">
        <v>13</v>
      </c>
      <c r="G3" s="12" t="s">
        <v>12</v>
      </c>
      <c r="H3" s="14" t="s">
        <v>14</v>
      </c>
      <c r="I3" s="15" t="s">
        <v>15</v>
      </c>
      <c r="J3" s="16"/>
    </row>
    <row r="4" customFormat="false" ht="15.75" hidden="false" customHeight="false" outlineLevel="0" collapsed="false">
      <c r="B4" s="17" t="s">
        <v>16</v>
      </c>
      <c r="C4" s="12"/>
      <c r="D4" s="18" t="s">
        <v>17</v>
      </c>
      <c r="E4" s="12"/>
      <c r="F4" s="18" t="s">
        <v>18</v>
      </c>
      <c r="G4" s="12"/>
      <c r="H4" s="19" t="s">
        <v>19</v>
      </c>
      <c r="I4" s="15"/>
      <c r="J4" s="16"/>
    </row>
    <row r="5" customFormat="false" ht="15.75" hidden="false" customHeight="false" outlineLevel="0" collapsed="false">
      <c r="A5" s="20" t="s">
        <v>20</v>
      </c>
      <c r="B5" s="0" t="n">
        <v>1532.5619047619</v>
      </c>
      <c r="C5" s="0" t="n">
        <v>2.81522222754727</v>
      </c>
      <c r="D5" s="0" t="n">
        <v>1.02647121908115</v>
      </c>
      <c r="E5" s="0" t="n">
        <v>0.0109617268499201</v>
      </c>
      <c r="F5" s="0" t="n">
        <v>1026.47121908115</v>
      </c>
      <c r="G5" s="0" t="n">
        <v>10.9617268499201</v>
      </c>
      <c r="H5" s="0" t="n">
        <f aca="false">(B5*B5*F5)/1000000000</f>
        <v>2.41092016164573</v>
      </c>
      <c r="I5" s="0" t="n">
        <f aca="false">((((B5^4)*(G5^2))+(((2*F5*B5)^2)*(C5^2)))^0.5)/1000000000</f>
        <v>0.027227312731068</v>
      </c>
    </row>
    <row r="6" customFormat="false" ht="15.75" hidden="false" customHeight="false" outlineLevel="0" collapsed="false">
      <c r="A6" s="21" t="s">
        <v>21</v>
      </c>
      <c r="B6" s="22" t="n">
        <v>1551.57142857143</v>
      </c>
      <c r="C6" s="22" t="n">
        <v>3.05370968776386</v>
      </c>
      <c r="D6" s="22" t="n">
        <v>1.04394535186588</v>
      </c>
      <c r="E6" s="22" t="n">
        <v>0.00992947575746141</v>
      </c>
      <c r="F6" s="22" t="n">
        <v>1043.94535186588</v>
      </c>
      <c r="G6" s="22" t="n">
        <v>9.92947575746141</v>
      </c>
      <c r="H6" s="23" t="n">
        <f aca="false">(B6*B6*F6)/1000000000</f>
        <v>2.51316679097774</v>
      </c>
      <c r="I6" s="23" t="n">
        <f aca="false">((((B6^4)*(G6^2))+(((2*F6*B6)^2)*(C6^2)))^0.5)/1000000000</f>
        <v>0.0258700878822047</v>
      </c>
    </row>
    <row r="7" customFormat="false" ht="15.75" hidden="false" customHeight="false" outlineLevel="0" collapsed="false">
      <c r="A7" s="24" t="s">
        <v>22</v>
      </c>
      <c r="B7" s="22" t="n">
        <v>1562.40476190476</v>
      </c>
      <c r="C7" s="22" t="n">
        <v>2.12919613715509</v>
      </c>
      <c r="D7" s="22" t="n">
        <v>1.04894992052512</v>
      </c>
      <c r="E7" s="22" t="n">
        <v>0.00999590727210431</v>
      </c>
      <c r="F7" s="22" t="n">
        <v>1048.94992052512</v>
      </c>
      <c r="G7" s="22" t="n">
        <v>9.99590727210431</v>
      </c>
      <c r="H7" s="0" t="n">
        <f aca="false">(B7*B7*F7)/1000000000</f>
        <v>2.56060071394498</v>
      </c>
      <c r="I7" s="0" t="n">
        <f aca="false">((((B7^4)*(G7^2))+(((2*F7*B7)^2)*(C7^2)))^0.5)/1000000000</f>
        <v>0.02537952091159</v>
      </c>
    </row>
  </sheetData>
  <mergeCells count="6">
    <mergeCell ref="A1:M1"/>
    <mergeCell ref="C3:C4"/>
    <mergeCell ref="E3:E4"/>
    <mergeCell ref="G3:G4"/>
    <mergeCell ref="I3:I4"/>
    <mergeCell ref="J3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4" activeCellId="0" sqref="J44"/>
    </sheetView>
  </sheetViews>
  <sheetFormatPr defaultColWidth="10.5546875" defaultRowHeight="15.75" customHeight="false" zeroHeight="false" outlineLevelRow="0" outlineLevelCol="0"/>
  <cols>
    <col collapsed="false" customWidth="true" hidden="false" outlineLevel="0" max="1" min="1" style="0" width="23.66"/>
    <col collapsed="false" customWidth="true" hidden="false" outlineLevel="0" max="2" min="2" style="0" width="15.33"/>
    <col collapsed="false" customWidth="true" hidden="false" outlineLevel="0" max="3" min="3" style="0" width="16"/>
    <col collapsed="false" customWidth="true" hidden="false" outlineLevel="0" max="4" min="4" style="0" width="22.17"/>
    <col collapsed="false" customWidth="true" hidden="false" outlineLevel="0" max="5" min="5" style="0" width="14"/>
    <col collapsed="false" customWidth="true" hidden="false" outlineLevel="0" max="6" min="6" style="0" width="20.84"/>
    <col collapsed="false" customWidth="true" hidden="false" outlineLevel="0" max="9" min="9" style="0" width="15.83"/>
    <col collapsed="false" customWidth="true" hidden="false" outlineLevel="0" max="10" min="10" style="0" width="15.17"/>
    <col collapsed="false" customWidth="true" hidden="false" outlineLevel="0" max="11" min="11" style="0" width="17"/>
  </cols>
  <sheetData>
    <row r="1" customFormat="false" ht="19.7" hidden="false" customHeight="fals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25"/>
    </row>
    <row r="2" customFormat="false" ht="31.5" hidden="false" customHeight="true" outlineLevel="0" collapsed="false">
      <c r="A2" s="26" t="s">
        <v>24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customFormat="false" ht="15.75" hidden="false" customHeight="false" outlineLevel="0" collapsed="false">
      <c r="A3" s="27"/>
      <c r="B3" s="27"/>
      <c r="C3" s="28" t="s">
        <v>25</v>
      </c>
      <c r="D3" s="28"/>
      <c r="E3" s="27"/>
      <c r="F3" s="27"/>
      <c r="G3" s="28" t="s">
        <v>26</v>
      </c>
      <c r="H3" s="28"/>
      <c r="I3" s="27"/>
    </row>
    <row r="4" customFormat="false" ht="15.75" hidden="false" customHeight="true" outlineLevel="0" collapsed="false">
      <c r="A4" s="29" t="s">
        <v>27</v>
      </c>
      <c r="B4" s="30" t="s">
        <v>28</v>
      </c>
      <c r="C4" s="30" t="s">
        <v>29</v>
      </c>
      <c r="D4" s="30" t="s">
        <v>30</v>
      </c>
      <c r="E4" s="30" t="s">
        <v>31</v>
      </c>
      <c r="F4" s="30" t="s">
        <v>32</v>
      </c>
      <c r="G4" s="30" t="s">
        <v>29</v>
      </c>
      <c r="H4" s="30" t="s">
        <v>30</v>
      </c>
      <c r="I4" s="30" t="s">
        <v>33</v>
      </c>
      <c r="J4" s="31" t="s">
        <v>34</v>
      </c>
      <c r="K4" s="31" t="s">
        <v>12</v>
      </c>
      <c r="L4" s="32"/>
    </row>
    <row r="5" customFormat="false" ht="15.75" hidden="false" customHeight="false" outlineLevel="0" collapsed="false">
      <c r="A5" s="29"/>
      <c r="B5" s="30" t="s">
        <v>35</v>
      </c>
      <c r="C5" s="30" t="s">
        <v>36</v>
      </c>
      <c r="D5" s="30" t="s">
        <v>37</v>
      </c>
      <c r="E5" s="30" t="s">
        <v>38</v>
      </c>
      <c r="F5" s="30" t="s">
        <v>38</v>
      </c>
      <c r="G5" s="30" t="s">
        <v>36</v>
      </c>
      <c r="H5" s="30" t="s">
        <v>37</v>
      </c>
      <c r="I5" s="30" t="s">
        <v>39</v>
      </c>
      <c r="J5" s="31" t="s">
        <v>40</v>
      </c>
      <c r="K5" s="31"/>
      <c r="L5" s="32"/>
    </row>
    <row r="6" customFormat="false" ht="15.75" hidden="false" customHeight="false" outlineLevel="0" collapsed="false">
      <c r="A6" s="33" t="s">
        <v>20</v>
      </c>
      <c r="B6" s="34" t="n">
        <v>1</v>
      </c>
      <c r="C6" s="35" t="n">
        <v>0.99</v>
      </c>
      <c r="D6" s="35" t="n">
        <v>0.35</v>
      </c>
      <c r="E6" s="34" t="n">
        <v>0.38</v>
      </c>
      <c r="F6" s="34" t="n">
        <v>0.34</v>
      </c>
      <c r="G6" s="36" t="n">
        <f aca="false">C6-E6</f>
        <v>0.61</v>
      </c>
      <c r="H6" s="36" t="n">
        <f aca="false">D6-F6</f>
        <v>0.00999999999999995</v>
      </c>
      <c r="I6" s="37" t="n">
        <f aca="false">(G6/(G6-H6))*B6</f>
        <v>1.01666666666667</v>
      </c>
      <c r="J6" s="22" t="n">
        <f aca="false">SUM(I6:I11)/6</f>
        <v>1.02647121908115</v>
      </c>
      <c r="K6" s="22" t="n">
        <f aca="false">STDEV(I6:I11)</f>
        <v>0.0109617268499201</v>
      </c>
      <c r="L6" s="32"/>
    </row>
    <row r="7" customFormat="false" ht="15.75" hidden="false" customHeight="false" outlineLevel="0" collapsed="false">
      <c r="A7" s="33" t="s">
        <v>20</v>
      </c>
      <c r="B7" s="34" t="n">
        <v>0.789</v>
      </c>
      <c r="C7" s="35" t="n">
        <v>0.98</v>
      </c>
      <c r="D7" s="35" t="n">
        <v>0.49</v>
      </c>
      <c r="E7" s="34" t="n">
        <v>0.37</v>
      </c>
      <c r="F7" s="34" t="n">
        <v>0.34</v>
      </c>
      <c r="G7" s="36" t="n">
        <f aca="false">C7-E7</f>
        <v>0.61</v>
      </c>
      <c r="H7" s="36" t="n">
        <f aca="false">D7-F7</f>
        <v>0.15</v>
      </c>
      <c r="I7" s="37" t="n">
        <f aca="false">(G7/(G7-H7))*B7</f>
        <v>1.04628260869565</v>
      </c>
      <c r="K7" s="32"/>
      <c r="L7" s="32"/>
    </row>
    <row r="8" customFormat="false" ht="15.75" hidden="false" customHeight="false" outlineLevel="0" collapsed="false">
      <c r="A8" s="33" t="s">
        <v>20</v>
      </c>
      <c r="B8" s="34" t="n">
        <v>1</v>
      </c>
      <c r="C8" s="35" t="n">
        <v>2.52</v>
      </c>
      <c r="D8" s="35" t="n">
        <v>0.37</v>
      </c>
      <c r="E8" s="34" t="n">
        <v>0.38</v>
      </c>
      <c r="F8" s="34" t="n">
        <v>0.32</v>
      </c>
      <c r="G8" s="36" t="n">
        <f aca="false">C8-E8</f>
        <v>2.14</v>
      </c>
      <c r="H8" s="36" t="n">
        <f aca="false">D8-F8</f>
        <v>0.05</v>
      </c>
      <c r="I8" s="37" t="n">
        <f aca="false">(G8/(G8-H8))*B8</f>
        <v>1.02392344497608</v>
      </c>
      <c r="K8" s="32"/>
      <c r="L8" s="32"/>
    </row>
    <row r="9" customFormat="false" ht="15.75" hidden="false" customHeight="false" outlineLevel="0" collapsed="false">
      <c r="A9" s="33" t="s">
        <v>20</v>
      </c>
      <c r="B9" s="34" t="n">
        <v>0.789</v>
      </c>
      <c r="C9" s="35" t="n">
        <v>2.48</v>
      </c>
      <c r="D9" s="35" t="n">
        <v>0.81</v>
      </c>
      <c r="E9" s="34" t="n">
        <v>0.38</v>
      </c>
      <c r="F9" s="34" t="n">
        <v>0.34</v>
      </c>
      <c r="G9" s="36" t="n">
        <f aca="false">C9-E9</f>
        <v>2.1</v>
      </c>
      <c r="H9" s="36" t="n">
        <f aca="false">D9-F9</f>
        <v>0.47</v>
      </c>
      <c r="I9" s="37" t="n">
        <f aca="false">(G9/(G9-H9))*B9</f>
        <v>1.01650306748466</v>
      </c>
      <c r="K9" s="32"/>
      <c r="L9" s="32"/>
    </row>
    <row r="10" customFormat="false" ht="15.75" hidden="false" customHeight="false" outlineLevel="0" collapsed="false">
      <c r="A10" s="33" t="s">
        <v>20</v>
      </c>
      <c r="B10" s="34" t="n">
        <v>1</v>
      </c>
      <c r="C10" s="35" t="n">
        <v>1.79</v>
      </c>
      <c r="D10" s="35" t="n">
        <v>0.36</v>
      </c>
      <c r="E10" s="34" t="n">
        <v>0.37</v>
      </c>
      <c r="F10" s="34" t="n">
        <v>0.32</v>
      </c>
      <c r="G10" s="36" t="n">
        <f aca="false">C10-E10</f>
        <v>1.42</v>
      </c>
      <c r="H10" s="36" t="n">
        <f aca="false">D10-F10</f>
        <v>0.04</v>
      </c>
      <c r="I10" s="37" t="n">
        <f aca="false">(G10/(G10-H10))*B10</f>
        <v>1.02898550724638</v>
      </c>
      <c r="K10" s="32"/>
      <c r="L10" s="32"/>
    </row>
    <row r="11" customFormat="false" ht="15.75" hidden="false" customHeight="false" outlineLevel="0" collapsed="false">
      <c r="A11" s="38" t="s">
        <v>20</v>
      </c>
      <c r="B11" s="34" t="n">
        <v>0.789</v>
      </c>
      <c r="C11" s="35" t="n">
        <v>1.71</v>
      </c>
      <c r="D11" s="35" t="n">
        <v>0.64</v>
      </c>
      <c r="E11" s="34" t="n">
        <v>0.37</v>
      </c>
      <c r="F11" s="34" t="n">
        <v>0.33</v>
      </c>
      <c r="G11" s="36" t="n">
        <f aca="false">C11-E11</f>
        <v>1.34</v>
      </c>
      <c r="H11" s="36" t="n">
        <f aca="false">D11-F11</f>
        <v>0.31</v>
      </c>
      <c r="I11" s="39" t="n">
        <f aca="false">(G11/(G11-H11))*B11</f>
        <v>1.02646601941748</v>
      </c>
      <c r="J11" s="40"/>
      <c r="K11" s="40"/>
      <c r="L11" s="32"/>
    </row>
    <row r="12" customFormat="false" ht="15.75" hidden="false" customHeight="false" outlineLevel="0" collapsed="false">
      <c r="A12" s="33" t="s">
        <v>21</v>
      </c>
      <c r="B12" s="41" t="n">
        <v>1</v>
      </c>
      <c r="C12" s="42" t="n">
        <v>2.06</v>
      </c>
      <c r="D12" s="42" t="n">
        <v>0.4</v>
      </c>
      <c r="E12" s="41" t="n">
        <v>0.36</v>
      </c>
      <c r="F12" s="41" t="n">
        <v>0.32</v>
      </c>
      <c r="G12" s="42" t="n">
        <f aca="false">C12-E12</f>
        <v>1.7</v>
      </c>
      <c r="H12" s="42" t="n">
        <f aca="false">D12-F12</f>
        <v>0.08</v>
      </c>
      <c r="I12" s="37" t="n">
        <f aca="false">(G12/(G12-H12))*B12</f>
        <v>1.04938271604938</v>
      </c>
      <c r="J12" s="22" t="n">
        <f aca="false">SUM(I12:I17)/6</f>
        <v>1.04394535186588</v>
      </c>
      <c r="K12" s="22" t="n">
        <f aca="false">STDEV(I12:I17)</f>
        <v>0.00992947575746141</v>
      </c>
      <c r="L12" s="32"/>
    </row>
    <row r="13" customFormat="false" ht="15.75" hidden="false" customHeight="false" outlineLevel="0" collapsed="false">
      <c r="A13" s="33" t="s">
        <v>21</v>
      </c>
      <c r="B13" s="34" t="n">
        <v>0.789</v>
      </c>
      <c r="C13" s="35" t="n">
        <v>2.06</v>
      </c>
      <c r="D13" s="35" t="n">
        <v>0.74</v>
      </c>
      <c r="E13" s="34" t="n">
        <v>0.36</v>
      </c>
      <c r="F13" s="34" t="n">
        <v>0.34</v>
      </c>
      <c r="G13" s="36" t="n">
        <f aca="false">C13-E13</f>
        <v>1.7</v>
      </c>
      <c r="H13" s="36" t="n">
        <f aca="false">D13-F13</f>
        <v>0.4</v>
      </c>
      <c r="I13" s="37" t="n">
        <f aca="false">(G13/(G13-H13))*B13</f>
        <v>1.03176923076923</v>
      </c>
      <c r="K13" s="32"/>
      <c r="L13" s="32"/>
    </row>
    <row r="14" customFormat="false" ht="15.75" hidden="false" customHeight="false" outlineLevel="0" collapsed="false">
      <c r="A14" s="33" t="s">
        <v>21</v>
      </c>
      <c r="B14" s="34" t="n">
        <v>1</v>
      </c>
      <c r="C14" s="35" t="n">
        <v>1.87</v>
      </c>
      <c r="D14" s="35" t="n">
        <v>0.39</v>
      </c>
      <c r="E14" s="34" t="n">
        <v>0.36</v>
      </c>
      <c r="F14" s="34" t="n">
        <v>0.32</v>
      </c>
      <c r="G14" s="36" t="n">
        <f aca="false">C14-E14</f>
        <v>1.51</v>
      </c>
      <c r="H14" s="36" t="n">
        <f aca="false">D14-F14</f>
        <v>0.07</v>
      </c>
      <c r="I14" s="37" t="n">
        <f aca="false">(G14/(G14-H14))*B14</f>
        <v>1.04861111111111</v>
      </c>
      <c r="K14" s="32"/>
      <c r="L14" s="32"/>
    </row>
    <row r="15" customFormat="false" ht="15.75" hidden="false" customHeight="false" outlineLevel="0" collapsed="false">
      <c r="A15" s="33" t="s">
        <v>21</v>
      </c>
      <c r="B15" s="34" t="n">
        <v>0.789</v>
      </c>
      <c r="C15" s="35" t="n">
        <v>1.87</v>
      </c>
      <c r="D15" s="35" t="n">
        <v>0.7</v>
      </c>
      <c r="E15" s="34" t="n">
        <v>0.36</v>
      </c>
      <c r="F15" s="34" t="n">
        <v>0.34</v>
      </c>
      <c r="G15" s="36" t="n">
        <f aca="false">C15-E15</f>
        <v>1.51</v>
      </c>
      <c r="H15" s="36" t="n">
        <f aca="false">D15-F15</f>
        <v>0.36</v>
      </c>
      <c r="I15" s="37" t="n">
        <f aca="false">(G15/(G15-H15))*B15</f>
        <v>1.03599130434783</v>
      </c>
      <c r="K15" s="32"/>
      <c r="L15" s="32"/>
    </row>
    <row r="16" customFormat="false" ht="15.75" hidden="false" customHeight="false" outlineLevel="0" collapsed="false">
      <c r="A16" s="33" t="s">
        <v>21</v>
      </c>
      <c r="B16" s="34" t="n">
        <v>1</v>
      </c>
      <c r="C16" s="35" t="n">
        <v>2</v>
      </c>
      <c r="D16" s="35" t="n">
        <v>0.4</v>
      </c>
      <c r="E16" s="34" t="n">
        <v>0.37</v>
      </c>
      <c r="F16" s="34" t="n">
        <v>0.31</v>
      </c>
      <c r="G16" s="36" t="n">
        <f aca="false">C16-E16</f>
        <v>1.63</v>
      </c>
      <c r="H16" s="36" t="n">
        <f aca="false">D16-F16</f>
        <v>0.09</v>
      </c>
      <c r="I16" s="37" t="n">
        <f aca="false">(G16/(G16-H16))*B16</f>
        <v>1.05844155844156</v>
      </c>
      <c r="K16" s="32"/>
      <c r="L16" s="32"/>
    </row>
    <row r="17" customFormat="false" ht="15.75" hidden="false" customHeight="false" outlineLevel="0" collapsed="false">
      <c r="A17" s="38" t="s">
        <v>21</v>
      </c>
      <c r="B17" s="34" t="n">
        <v>0.789</v>
      </c>
      <c r="C17" s="35" t="n">
        <v>2.02</v>
      </c>
      <c r="D17" s="35" t="n">
        <v>0.73</v>
      </c>
      <c r="E17" s="34" t="n">
        <v>0.36</v>
      </c>
      <c r="F17" s="34" t="n">
        <v>0.33</v>
      </c>
      <c r="G17" s="43" t="n">
        <f aca="false">C17-E17</f>
        <v>1.66</v>
      </c>
      <c r="H17" s="43" t="n">
        <f aca="false">D17-F17</f>
        <v>0.4</v>
      </c>
      <c r="I17" s="39" t="n">
        <f aca="false">(G17/(G17-H17))*B17</f>
        <v>1.03947619047619</v>
      </c>
      <c r="J17" s="40"/>
      <c r="K17" s="40"/>
      <c r="L17" s="32"/>
    </row>
    <row r="18" customFormat="false" ht="15.75" hidden="false" customHeight="false" outlineLevel="0" collapsed="false">
      <c r="A18" s="33" t="s">
        <v>22</v>
      </c>
      <c r="B18" s="41" t="n">
        <v>1</v>
      </c>
      <c r="C18" s="42" t="n">
        <v>1.95</v>
      </c>
      <c r="D18" s="42" t="n">
        <v>0.41</v>
      </c>
      <c r="E18" s="41" t="n">
        <v>0.36</v>
      </c>
      <c r="F18" s="41" t="n">
        <v>0.32</v>
      </c>
      <c r="G18" s="36" t="n">
        <f aca="false">C18-E18</f>
        <v>1.59</v>
      </c>
      <c r="H18" s="36" t="n">
        <f aca="false">D18-F18</f>
        <v>0.09</v>
      </c>
      <c r="I18" s="37" t="n">
        <f aca="false">(G18/(G18-H18))*B18</f>
        <v>1.06</v>
      </c>
      <c r="J18" s="22" t="n">
        <f aca="false">SUM(I18:I23)/6</f>
        <v>1.04894992052512</v>
      </c>
      <c r="K18" s="22" t="n">
        <f aca="false">STDEV(I18:I23)</f>
        <v>0.00999590727210431</v>
      </c>
      <c r="L18" s="32"/>
    </row>
    <row r="19" customFormat="false" ht="15.75" hidden="false" customHeight="false" outlineLevel="0" collapsed="false">
      <c r="A19" s="33" t="s">
        <v>22</v>
      </c>
      <c r="B19" s="34" t="n">
        <v>0.789</v>
      </c>
      <c r="C19" s="35" t="n">
        <v>1.95</v>
      </c>
      <c r="D19" s="35" t="n">
        <v>0.73</v>
      </c>
      <c r="E19" s="34" t="n">
        <v>0.36</v>
      </c>
      <c r="F19" s="34" t="n">
        <v>0.33</v>
      </c>
      <c r="G19" s="36" t="n">
        <f aca="false">C19-E19</f>
        <v>1.59</v>
      </c>
      <c r="H19" s="36" t="n">
        <f aca="false">D19-F19</f>
        <v>0.4</v>
      </c>
      <c r="I19" s="37" t="n">
        <f aca="false">(G19/(G19-H19))*B19</f>
        <v>1.05421008403361</v>
      </c>
      <c r="K19" s="32"/>
      <c r="L19" s="32"/>
    </row>
    <row r="20" customFormat="false" ht="15.75" hidden="false" customHeight="false" outlineLevel="0" collapsed="false">
      <c r="A20" s="33" t="s">
        <v>22</v>
      </c>
      <c r="B20" s="34" t="n">
        <v>1</v>
      </c>
      <c r="C20" s="35" t="n">
        <v>1.89</v>
      </c>
      <c r="D20" s="35" t="n">
        <v>0.41</v>
      </c>
      <c r="E20" s="34" t="n">
        <v>0.37</v>
      </c>
      <c r="F20" s="34" t="n">
        <v>0.33</v>
      </c>
      <c r="G20" s="36" t="n">
        <f aca="false">C20-E20</f>
        <v>1.52</v>
      </c>
      <c r="H20" s="36" t="n">
        <f aca="false">D20-F20</f>
        <v>0.08</v>
      </c>
      <c r="I20" s="37" t="n">
        <f aca="false">(G20/(G20-H20))*B20</f>
        <v>1.05555555555556</v>
      </c>
      <c r="K20" s="32"/>
      <c r="L20" s="32"/>
    </row>
    <row r="21" customFormat="false" ht="15.75" hidden="false" customHeight="false" outlineLevel="0" collapsed="false">
      <c r="A21" s="33" t="s">
        <v>22</v>
      </c>
      <c r="B21" s="34" t="n">
        <v>0.789</v>
      </c>
      <c r="C21" s="35" t="n">
        <v>1.9</v>
      </c>
      <c r="D21" s="35" t="n">
        <v>0.72</v>
      </c>
      <c r="E21" s="34" t="n">
        <v>0.37</v>
      </c>
      <c r="F21" s="34" t="n">
        <v>0.34</v>
      </c>
      <c r="G21" s="36" t="n">
        <f aca="false">C21-E21</f>
        <v>1.53</v>
      </c>
      <c r="H21" s="36" t="n">
        <f aca="false">D21-F21</f>
        <v>0.38</v>
      </c>
      <c r="I21" s="37" t="n">
        <f aca="false">(G21/(G21-H21))*B21</f>
        <v>1.04971304347826</v>
      </c>
      <c r="K21" s="32"/>
      <c r="L21" s="32"/>
    </row>
    <row r="22" customFormat="false" ht="15.75" hidden="false" customHeight="false" outlineLevel="0" collapsed="false">
      <c r="A22" s="33" t="s">
        <v>22</v>
      </c>
      <c r="B22" s="34" t="n">
        <v>1</v>
      </c>
      <c r="C22" s="35" t="n">
        <v>1.91</v>
      </c>
      <c r="D22" s="35" t="n">
        <v>0.4</v>
      </c>
      <c r="E22" s="34" t="n">
        <v>0.37</v>
      </c>
      <c r="F22" s="34" t="n">
        <v>0.35</v>
      </c>
      <c r="G22" s="36" t="n">
        <f aca="false">C22-E22</f>
        <v>1.54</v>
      </c>
      <c r="H22" s="36" t="n">
        <f aca="false">D22-F22</f>
        <v>0.05</v>
      </c>
      <c r="I22" s="37" t="n">
        <f aca="false">(G22/(G22-H22))*B22</f>
        <v>1.03355704697987</v>
      </c>
      <c r="K22" s="32"/>
      <c r="L22" s="32"/>
    </row>
    <row r="23" customFormat="false" ht="15.75" hidden="false" customHeight="false" outlineLevel="0" collapsed="false">
      <c r="A23" s="44" t="s">
        <v>22</v>
      </c>
      <c r="B23" s="37" t="n">
        <v>0.789</v>
      </c>
      <c r="C23" s="35" t="n">
        <v>1.9</v>
      </c>
      <c r="D23" s="35" t="n">
        <v>0.72</v>
      </c>
      <c r="E23" s="34" t="n">
        <v>0.37</v>
      </c>
      <c r="F23" s="34" t="n">
        <v>0.35</v>
      </c>
      <c r="G23" s="36" t="n">
        <f aca="false">C23-E23</f>
        <v>1.53</v>
      </c>
      <c r="H23" s="36" t="n">
        <f aca="false">D23-F23</f>
        <v>0.37</v>
      </c>
      <c r="I23" s="37" t="n">
        <f aca="false">(G23/(G23-H23))*B23</f>
        <v>1.04066379310345</v>
      </c>
      <c r="J23" s="32"/>
      <c r="K23" s="32"/>
      <c r="L23" s="37"/>
    </row>
    <row r="24" customFormat="false" ht="15.75" hidden="false" customHeight="false" outlineLevel="0" collapsed="false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</sheetData>
  <mergeCells count="5">
    <mergeCell ref="A1:K1"/>
    <mergeCell ref="A2:K2"/>
    <mergeCell ref="C3:D3"/>
    <mergeCell ref="G3:H3"/>
    <mergeCell ref="A4:A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11" activeCellId="0" sqref="Y11"/>
    </sheetView>
  </sheetViews>
  <sheetFormatPr defaultColWidth="10.5546875" defaultRowHeight="15.75" customHeight="false" zeroHeight="false" outlineLevelRow="0" outlineLevelCol="0"/>
  <cols>
    <col collapsed="false" customWidth="true" hidden="false" outlineLevel="0" max="1" min="1" style="0" width="24.66"/>
  </cols>
  <sheetData>
    <row r="1" customFormat="false" ht="19.7" hidden="false" customHeight="fals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5.75" hidden="false" customHeight="false" outlineLevel="0" collapsed="false">
      <c r="A2" s="45" t="s">
        <v>42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34"/>
      <c r="X2" s="34"/>
      <c r="Y2" s="34"/>
    </row>
    <row r="4" customFormat="false" ht="28.9" hidden="false" customHeight="false" outlineLevel="0" collapsed="false">
      <c r="A4" s="46"/>
      <c r="B4" s="47" t="s">
        <v>43</v>
      </c>
      <c r="C4" s="47"/>
      <c r="D4" s="47"/>
      <c r="E4" s="47"/>
      <c r="F4" s="47"/>
      <c r="G4" s="47"/>
      <c r="H4" s="47"/>
      <c r="I4" s="47"/>
      <c r="J4" s="47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9" t="s">
        <v>44</v>
      </c>
      <c r="X4" s="14" t="s">
        <v>11</v>
      </c>
      <c r="Y4" s="50" t="s">
        <v>12</v>
      </c>
    </row>
    <row r="5" customFormat="false" ht="15.75" hidden="false" customHeight="false" outlineLevel="0" collapsed="false">
      <c r="A5" s="0" t="s">
        <v>20</v>
      </c>
      <c r="B5" s="34" t="n">
        <v>1532.5</v>
      </c>
      <c r="C5" s="34" t="n">
        <v>1531.6</v>
      </c>
      <c r="D5" s="51" t="n">
        <v>1535.3</v>
      </c>
      <c r="E5" s="34" t="n">
        <v>1537.2</v>
      </c>
      <c r="F5" s="34" t="n">
        <v>1537.8</v>
      </c>
      <c r="G5" s="34" t="n">
        <v>1539</v>
      </c>
      <c r="H5" s="34" t="n">
        <v>1531.9</v>
      </c>
      <c r="I5" s="34" t="n">
        <v>1532.7</v>
      </c>
      <c r="J5" s="34" t="n">
        <v>1533.2</v>
      </c>
      <c r="K5" s="34" t="n">
        <v>1533.3</v>
      </c>
      <c r="L5" s="34" t="n">
        <v>1533.4</v>
      </c>
      <c r="M5" s="34" t="n">
        <v>1530.8</v>
      </c>
      <c r="N5" s="34" t="n">
        <v>1532.1</v>
      </c>
      <c r="O5" s="34" t="n">
        <v>1532.5</v>
      </c>
      <c r="P5" s="34" t="n">
        <v>1531</v>
      </c>
      <c r="Q5" s="34" t="n">
        <v>1528.8</v>
      </c>
      <c r="R5" s="34" t="n">
        <v>1528.3</v>
      </c>
      <c r="S5" s="34" t="n">
        <v>1528.9</v>
      </c>
      <c r="T5" s="34" t="n">
        <v>1531.5</v>
      </c>
      <c r="U5" s="34" t="n">
        <v>1530.8</v>
      </c>
      <c r="V5" s="34" t="n">
        <v>1531.2</v>
      </c>
      <c r="W5" s="34" t="n">
        <v>21</v>
      </c>
      <c r="X5" s="0" t="n">
        <f aca="false">SUM(B5:V5)/W5</f>
        <v>1532.5619047619</v>
      </c>
      <c r="Y5" s="0" t="n">
        <f aca="false">STDEV(B5:V5)</f>
        <v>2.81522222754727</v>
      </c>
    </row>
    <row r="6" customFormat="false" ht="15.75" hidden="false" customHeight="false" outlineLevel="0" collapsed="false">
      <c r="A6" s="0" t="s">
        <v>21</v>
      </c>
      <c r="B6" s="41" t="n">
        <v>1549.9</v>
      </c>
      <c r="C6" s="41" t="n">
        <v>1551</v>
      </c>
      <c r="D6" s="41" t="n">
        <v>1552.9</v>
      </c>
      <c r="E6" s="41" t="n">
        <v>1549.8</v>
      </c>
      <c r="F6" s="41" t="n">
        <v>1549</v>
      </c>
      <c r="G6" s="41" t="n">
        <v>1549.7</v>
      </c>
      <c r="H6" s="41" t="n">
        <v>1550.8</v>
      </c>
      <c r="I6" s="41" t="n">
        <v>1550.1</v>
      </c>
      <c r="J6" s="41" t="n">
        <v>1550.3</v>
      </c>
      <c r="K6" s="41" t="n">
        <v>1550</v>
      </c>
      <c r="L6" s="41" t="n">
        <v>1549.5</v>
      </c>
      <c r="M6" s="41" t="n">
        <v>1550.4</v>
      </c>
      <c r="N6" s="41" t="n">
        <v>1546.5</v>
      </c>
      <c r="O6" s="41" t="n">
        <v>1550</v>
      </c>
      <c r="P6" s="41" t="n">
        <v>1547.9</v>
      </c>
      <c r="Q6" s="41" t="n">
        <v>1556.6</v>
      </c>
      <c r="R6" s="41" t="n">
        <v>1555.7</v>
      </c>
      <c r="S6" s="41" t="n">
        <v>1556.7</v>
      </c>
      <c r="T6" s="41" t="n">
        <v>1556.1</v>
      </c>
      <c r="U6" s="41" t="n">
        <v>1555.7</v>
      </c>
      <c r="V6" s="41" t="n">
        <v>1554.4</v>
      </c>
      <c r="W6" s="41" t="n">
        <v>21</v>
      </c>
      <c r="X6" s="0" t="n">
        <f aca="false">SUM(B6:V6)/W6</f>
        <v>1551.57142857143</v>
      </c>
      <c r="Y6" s="0" t="n">
        <f aca="false">STDEV(B6:V6)</f>
        <v>3.05370968776386</v>
      </c>
    </row>
    <row r="7" customFormat="false" ht="15.75" hidden="false" customHeight="false" outlineLevel="0" collapsed="false">
      <c r="A7" s="0" t="s">
        <v>22</v>
      </c>
      <c r="B7" s="41" t="n">
        <v>1560.1</v>
      </c>
      <c r="C7" s="41" t="n">
        <v>1560.6</v>
      </c>
      <c r="D7" s="41" t="n">
        <v>1561.6</v>
      </c>
      <c r="E7" s="41" t="n">
        <v>1562.2</v>
      </c>
      <c r="F7" s="41" t="n">
        <v>1560.9</v>
      </c>
      <c r="G7" s="41" t="n">
        <v>1560.1</v>
      </c>
      <c r="H7" s="41" t="n">
        <v>1561.5</v>
      </c>
      <c r="I7" s="41" t="n">
        <v>1561.7</v>
      </c>
      <c r="J7" s="41" t="n">
        <v>1561.4</v>
      </c>
      <c r="K7" s="41" t="n">
        <v>1563.3</v>
      </c>
      <c r="L7" s="41" t="n">
        <v>1562.4</v>
      </c>
      <c r="M7" s="41" t="n">
        <v>1563.1</v>
      </c>
      <c r="N7" s="41" t="n">
        <v>1559.9</v>
      </c>
      <c r="O7" s="41" t="n">
        <v>1559.6</v>
      </c>
      <c r="P7" s="41" t="n">
        <v>1560.6</v>
      </c>
      <c r="Q7" s="41" t="n">
        <v>1565.3</v>
      </c>
      <c r="R7" s="41" t="n">
        <v>1564</v>
      </c>
      <c r="S7" s="41" t="n">
        <v>1564.5</v>
      </c>
      <c r="T7" s="41" t="n">
        <v>1566.6</v>
      </c>
      <c r="U7" s="41" t="n">
        <v>1565.8</v>
      </c>
      <c r="V7" s="41" t="n">
        <v>1565.3</v>
      </c>
      <c r="W7" s="41" t="n">
        <v>21</v>
      </c>
      <c r="X7" s="0" t="n">
        <f aca="false">SUM(B7:V7)/W7</f>
        <v>1562.40476190476</v>
      </c>
      <c r="Y7" s="0" t="n">
        <f aca="false">STDEV(B7:V7)</f>
        <v>2.12919613715509</v>
      </c>
    </row>
  </sheetData>
  <mergeCells count="2">
    <mergeCell ref="A1:Y1"/>
    <mergeCell ref="B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34" activeCellId="0" sqref="U34"/>
    </sheetView>
  </sheetViews>
  <sheetFormatPr defaultColWidth="10.5546875" defaultRowHeight="15.75" customHeight="false" zeroHeight="false" outlineLevelRow="0" outlineLevelCol="0"/>
  <sheetData>
    <row r="1" customFormat="false" ht="19.7" hidden="false" customHeight="false" outlineLevel="0" collapsed="false">
      <c r="A1" s="52"/>
      <c r="B1" s="53" t="s">
        <v>45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customFormat="false" ht="15.75" hidden="false" customHeight="false" outlineLevel="0" collapsed="false">
      <c r="B2" s="54" t="s">
        <v>46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customFormat="false" ht="15.75" hidden="false" customHeight="false" outlineLevel="0" collapsed="false">
      <c r="B3" s="55" t="s">
        <v>47</v>
      </c>
      <c r="C3" s="55"/>
      <c r="D3" s="55"/>
      <c r="E3" s="55"/>
      <c r="F3" s="55"/>
      <c r="G3" s="55"/>
      <c r="H3" s="56" t="s">
        <v>6</v>
      </c>
      <c r="I3" s="56"/>
      <c r="J3" s="56"/>
      <c r="K3" s="56"/>
      <c r="L3" s="56"/>
      <c r="M3" s="56"/>
      <c r="N3" s="55" t="s">
        <v>8</v>
      </c>
      <c r="O3" s="55"/>
      <c r="P3" s="55"/>
      <c r="Q3" s="55"/>
      <c r="R3" s="55"/>
      <c r="S3" s="55"/>
    </row>
    <row r="4" customFormat="false" ht="15.75" hidden="false" customHeight="false" outlineLevel="0" collapsed="false">
      <c r="B4" s="57" t="s">
        <v>48</v>
      </c>
      <c r="C4" s="58" t="s">
        <v>49</v>
      </c>
      <c r="D4" s="58" t="s">
        <v>48</v>
      </c>
      <c r="E4" s="58" t="s">
        <v>49</v>
      </c>
      <c r="F4" s="58" t="s">
        <v>48</v>
      </c>
      <c r="G4" s="59" t="s">
        <v>49</v>
      </c>
      <c r="H4" s="60" t="s">
        <v>48</v>
      </c>
      <c r="I4" s="58" t="s">
        <v>49</v>
      </c>
      <c r="J4" s="58" t="s">
        <v>48</v>
      </c>
      <c r="K4" s="58" t="s">
        <v>49</v>
      </c>
      <c r="L4" s="58" t="s">
        <v>48</v>
      </c>
      <c r="M4" s="58" t="s">
        <v>49</v>
      </c>
      <c r="N4" s="57" t="s">
        <v>48</v>
      </c>
      <c r="O4" s="58" t="s">
        <v>49</v>
      </c>
      <c r="P4" s="58" t="s">
        <v>48</v>
      </c>
      <c r="Q4" s="58" t="s">
        <v>49</v>
      </c>
      <c r="R4" s="58" t="s">
        <v>48</v>
      </c>
      <c r="S4" s="59" t="s">
        <v>49</v>
      </c>
    </row>
    <row r="5" customFormat="false" ht="15.75" hidden="false" customHeight="false" outlineLevel="0" collapsed="false">
      <c r="B5" s="57" t="s">
        <v>50</v>
      </c>
      <c r="C5" s="58" t="s">
        <v>51</v>
      </c>
      <c r="D5" s="58" t="s">
        <v>50</v>
      </c>
      <c r="E5" s="58" t="s">
        <v>51</v>
      </c>
      <c r="F5" s="58" t="s">
        <v>50</v>
      </c>
      <c r="G5" s="59" t="s">
        <v>51</v>
      </c>
      <c r="H5" s="60" t="s">
        <v>50</v>
      </c>
      <c r="I5" s="58" t="s">
        <v>51</v>
      </c>
      <c r="J5" s="58" t="s">
        <v>50</v>
      </c>
      <c r="K5" s="58" t="s">
        <v>51</v>
      </c>
      <c r="L5" s="58" t="s">
        <v>50</v>
      </c>
      <c r="M5" s="58" t="s">
        <v>51</v>
      </c>
      <c r="N5" s="57" t="s">
        <v>50</v>
      </c>
      <c r="O5" s="58" t="s">
        <v>51</v>
      </c>
      <c r="P5" s="58" t="s">
        <v>50</v>
      </c>
      <c r="Q5" s="58" t="s">
        <v>51</v>
      </c>
      <c r="R5" s="58" t="s">
        <v>50</v>
      </c>
      <c r="S5" s="59" t="s">
        <v>51</v>
      </c>
    </row>
    <row r="6" customFormat="false" ht="15.75" hidden="false" customHeight="false" outlineLevel="0" collapsed="false">
      <c r="B6" s="7" t="n">
        <v>0.0999992</v>
      </c>
      <c r="C6" s="0" t="n">
        <v>817.396</v>
      </c>
      <c r="D6" s="0" t="n">
        <v>0.100003</v>
      </c>
      <c r="E6" s="0" t="n">
        <v>822.208</v>
      </c>
      <c r="F6" s="0" t="n">
        <v>0.100003</v>
      </c>
      <c r="G6" s="8" t="n">
        <v>330.475</v>
      </c>
      <c r="H6" s="0" t="n">
        <v>0.100003</v>
      </c>
      <c r="I6" s="0" t="n">
        <v>4830.76</v>
      </c>
      <c r="J6" s="0" t="n">
        <v>0.0999959</v>
      </c>
      <c r="K6" s="0" t="n">
        <v>4418.97</v>
      </c>
      <c r="L6" s="0" t="n">
        <v>0.0999987</v>
      </c>
      <c r="M6" s="0" t="n">
        <v>5933.94</v>
      </c>
      <c r="N6" s="7" t="n">
        <v>0.100011</v>
      </c>
      <c r="O6" s="0" t="n">
        <v>5218.55</v>
      </c>
      <c r="P6" s="0" t="n">
        <v>0.100006</v>
      </c>
      <c r="Q6" s="0" t="n">
        <v>1866.09</v>
      </c>
      <c r="R6" s="0" t="n">
        <v>0.0999916</v>
      </c>
      <c r="S6" s="8" t="n">
        <v>2312.65</v>
      </c>
    </row>
    <row r="7" customFormat="false" ht="15.75" hidden="false" customHeight="false" outlineLevel="0" collapsed="false">
      <c r="B7" s="7" t="n">
        <v>0.12589</v>
      </c>
      <c r="C7" s="0" t="n">
        <v>523.255</v>
      </c>
      <c r="D7" s="0" t="n">
        <v>0.125887</v>
      </c>
      <c r="E7" s="0" t="n">
        <v>571.979</v>
      </c>
      <c r="F7" s="0" t="n">
        <v>0.125888</v>
      </c>
      <c r="G7" s="8" t="n">
        <v>229.942</v>
      </c>
      <c r="H7" s="0" t="n">
        <v>0.125895</v>
      </c>
      <c r="I7" s="0" t="n">
        <v>3475.07</v>
      </c>
      <c r="J7" s="0" t="n">
        <v>0.125901</v>
      </c>
      <c r="K7" s="0" t="n">
        <v>2900.89</v>
      </c>
      <c r="L7" s="0" t="n">
        <v>0.125884</v>
      </c>
      <c r="M7" s="0" t="n">
        <v>4498.44</v>
      </c>
      <c r="N7" s="7" t="n">
        <v>0.125893</v>
      </c>
      <c r="O7" s="0" t="n">
        <v>3000.59</v>
      </c>
      <c r="P7" s="0" t="n">
        <v>0.125893</v>
      </c>
      <c r="Q7" s="0" t="n">
        <v>1232.15</v>
      </c>
      <c r="R7" s="0" t="n">
        <v>0.125888</v>
      </c>
      <c r="S7" s="8" t="n">
        <v>1619.24</v>
      </c>
    </row>
    <row r="8" customFormat="false" ht="15.75" hidden="false" customHeight="false" outlineLevel="0" collapsed="false">
      <c r="B8" s="7" t="n">
        <v>0.158486</v>
      </c>
      <c r="C8" s="0" t="n">
        <v>368.39</v>
      </c>
      <c r="D8" s="0" t="n">
        <v>0.158491</v>
      </c>
      <c r="E8" s="0" t="n">
        <v>428.955</v>
      </c>
      <c r="F8" s="0" t="n">
        <v>0.158491</v>
      </c>
      <c r="G8" s="8" t="n">
        <v>167.762</v>
      </c>
      <c r="H8" s="0" t="n">
        <v>0.158492</v>
      </c>
      <c r="I8" s="0" t="n">
        <v>2632.65</v>
      </c>
      <c r="J8" s="0" t="n">
        <v>0.158495</v>
      </c>
      <c r="K8" s="0" t="n">
        <v>2154.42</v>
      </c>
      <c r="L8" s="0" t="n">
        <v>0.158486</v>
      </c>
      <c r="M8" s="0" t="n">
        <v>3504.97</v>
      </c>
      <c r="N8" s="7" t="n">
        <v>0.158488</v>
      </c>
      <c r="O8" s="0" t="n">
        <v>2260.82</v>
      </c>
      <c r="P8" s="0" t="n">
        <v>0.158485</v>
      </c>
      <c r="Q8" s="0" t="n">
        <v>984.337</v>
      </c>
      <c r="R8" s="0" t="n">
        <v>0.158497</v>
      </c>
      <c r="S8" s="8" t="n">
        <v>1288.82</v>
      </c>
    </row>
    <row r="9" customFormat="false" ht="15.75" hidden="false" customHeight="false" outlineLevel="0" collapsed="false">
      <c r="B9" s="7" t="n">
        <v>0.199528</v>
      </c>
      <c r="C9" s="0" t="n">
        <v>265.931</v>
      </c>
      <c r="D9" s="0" t="n">
        <v>0.199512</v>
      </c>
      <c r="E9" s="0" t="n">
        <v>326.593</v>
      </c>
      <c r="F9" s="0" t="n">
        <v>0.199527</v>
      </c>
      <c r="G9" s="8" t="n">
        <v>130.277</v>
      </c>
      <c r="H9" s="0" t="n">
        <v>0.19953</v>
      </c>
      <c r="I9" s="0" t="n">
        <v>1904.56</v>
      </c>
      <c r="J9" s="0" t="n">
        <v>0.199523</v>
      </c>
      <c r="K9" s="0" t="n">
        <v>1551.53</v>
      </c>
      <c r="L9" s="0" t="n">
        <v>0.199518</v>
      </c>
      <c r="M9" s="0" t="n">
        <v>2601.56</v>
      </c>
      <c r="N9" s="7" t="n">
        <v>0.199542</v>
      </c>
      <c r="O9" s="0" t="n">
        <v>1795.95</v>
      </c>
      <c r="P9" s="0" t="n">
        <v>0.199503</v>
      </c>
      <c r="Q9" s="0" t="n">
        <v>785.257</v>
      </c>
      <c r="R9" s="0" t="n">
        <v>0.199539</v>
      </c>
      <c r="S9" s="8" t="n">
        <v>1010.57</v>
      </c>
    </row>
    <row r="10" customFormat="false" ht="15.75" hidden="false" customHeight="false" outlineLevel="0" collapsed="false">
      <c r="B10" s="7" t="n">
        <v>0.251201</v>
      </c>
      <c r="C10" s="0" t="n">
        <v>192.52</v>
      </c>
      <c r="D10" s="0" t="n">
        <v>0.251184</v>
      </c>
      <c r="E10" s="0" t="n">
        <v>249.591</v>
      </c>
      <c r="F10" s="0" t="n">
        <v>0.25119</v>
      </c>
      <c r="G10" s="8" t="n">
        <v>95.4695</v>
      </c>
      <c r="H10" s="0" t="n">
        <v>0.251182</v>
      </c>
      <c r="I10" s="0" t="n">
        <v>1513.83</v>
      </c>
      <c r="J10" s="0" t="n">
        <v>0.25119</v>
      </c>
      <c r="K10" s="0" t="n">
        <v>1206.58</v>
      </c>
      <c r="L10" s="0" t="n">
        <v>0.251183</v>
      </c>
      <c r="M10" s="0" t="n">
        <v>2025.96</v>
      </c>
      <c r="N10" s="7" t="n">
        <v>0.251202</v>
      </c>
      <c r="O10" s="0" t="n">
        <v>1433.99</v>
      </c>
      <c r="P10" s="0" t="n">
        <v>0.251197</v>
      </c>
      <c r="Q10" s="0" t="n">
        <v>623.902</v>
      </c>
      <c r="R10" s="0" t="n">
        <v>0.251188</v>
      </c>
      <c r="S10" s="8" t="n">
        <v>766.044</v>
      </c>
    </row>
    <row r="11" customFormat="false" ht="15.75" hidden="false" customHeight="false" outlineLevel="0" collapsed="false">
      <c r="B11" s="7" t="n">
        <v>0.316239</v>
      </c>
      <c r="C11" s="0" t="n">
        <v>139.391</v>
      </c>
      <c r="D11" s="0" t="n">
        <v>0.316229</v>
      </c>
      <c r="E11" s="0" t="n">
        <v>188.604</v>
      </c>
      <c r="F11" s="0" t="n">
        <v>0.316227</v>
      </c>
      <c r="G11" s="8" t="n">
        <v>73.4927</v>
      </c>
      <c r="H11" s="0" t="n">
        <v>0.316237</v>
      </c>
      <c r="I11" s="0" t="n">
        <v>1215.06</v>
      </c>
      <c r="J11" s="0" t="n">
        <v>0.316232</v>
      </c>
      <c r="K11" s="0" t="n">
        <v>888.458</v>
      </c>
      <c r="L11" s="0" t="n">
        <v>0.316217</v>
      </c>
      <c r="M11" s="0" t="n">
        <v>1605.36</v>
      </c>
      <c r="N11" s="7" t="n">
        <v>0.316226</v>
      </c>
      <c r="O11" s="0" t="n">
        <v>1143.09</v>
      </c>
      <c r="P11" s="0" t="n">
        <v>0.316227</v>
      </c>
      <c r="Q11" s="0" t="n">
        <v>495.181</v>
      </c>
      <c r="R11" s="0" t="n">
        <v>0.316251</v>
      </c>
      <c r="S11" s="8" t="n">
        <v>610.634</v>
      </c>
    </row>
    <row r="12" customFormat="false" ht="15.75" hidden="false" customHeight="false" outlineLevel="0" collapsed="false">
      <c r="B12" s="7" t="n">
        <v>0.398094</v>
      </c>
      <c r="C12" s="0" t="n">
        <v>106.924</v>
      </c>
      <c r="D12" s="0" t="n">
        <v>0.398105</v>
      </c>
      <c r="E12" s="0" t="n">
        <v>148.508</v>
      </c>
      <c r="F12" s="0" t="n">
        <v>0.398111</v>
      </c>
      <c r="G12" s="8" t="n">
        <v>56.6377</v>
      </c>
      <c r="H12" s="0" t="n">
        <v>0.398129</v>
      </c>
      <c r="I12" s="0" t="n">
        <v>945.442</v>
      </c>
      <c r="J12" s="0" t="n">
        <v>0.398099</v>
      </c>
      <c r="K12" s="0" t="n">
        <v>685.671</v>
      </c>
      <c r="L12" s="0" t="n">
        <v>0.398078</v>
      </c>
      <c r="M12" s="0" t="n">
        <v>1210.02</v>
      </c>
      <c r="N12" s="7" t="n">
        <v>0.398116</v>
      </c>
      <c r="O12" s="0" t="n">
        <v>888.046</v>
      </c>
      <c r="P12" s="0" t="n">
        <v>0.398124</v>
      </c>
      <c r="Q12" s="0" t="n">
        <v>386.881</v>
      </c>
      <c r="R12" s="0" t="n">
        <v>0.39809</v>
      </c>
      <c r="S12" s="8" t="n">
        <v>491.481</v>
      </c>
    </row>
    <row r="13" customFormat="false" ht="15.75" hidden="false" customHeight="false" outlineLevel="0" collapsed="false">
      <c r="B13" s="7" t="n">
        <v>0.501185</v>
      </c>
      <c r="C13" s="0" t="n">
        <v>82.3758</v>
      </c>
      <c r="D13" s="0" t="n">
        <v>0.501153</v>
      </c>
      <c r="E13" s="0" t="n">
        <v>123.182</v>
      </c>
      <c r="F13" s="0" t="n">
        <v>0.501186</v>
      </c>
      <c r="G13" s="8" t="n">
        <v>42.8428</v>
      </c>
      <c r="H13" s="0" t="n">
        <v>0.501195</v>
      </c>
      <c r="I13" s="0" t="n">
        <v>736.13</v>
      </c>
      <c r="J13" s="0" t="n">
        <v>0.501186</v>
      </c>
      <c r="K13" s="0" t="n">
        <v>543.746</v>
      </c>
      <c r="L13" s="0" t="n">
        <v>0.501156</v>
      </c>
      <c r="M13" s="0" t="n">
        <v>978.747</v>
      </c>
      <c r="N13" s="7" t="n">
        <v>0.501191</v>
      </c>
      <c r="O13" s="0" t="n">
        <v>718.545</v>
      </c>
      <c r="P13" s="0" t="n">
        <v>0.501195</v>
      </c>
      <c r="Q13" s="0" t="n">
        <v>318.871</v>
      </c>
      <c r="R13" s="0" t="n">
        <v>0.501202</v>
      </c>
      <c r="S13" s="8" t="n">
        <v>394.479</v>
      </c>
    </row>
    <row r="14" customFormat="false" ht="15.75" hidden="false" customHeight="false" outlineLevel="0" collapsed="false">
      <c r="B14" s="7" t="n">
        <v>0.630953</v>
      </c>
      <c r="C14" s="0" t="n">
        <v>63.6848</v>
      </c>
      <c r="D14" s="0" t="n">
        <v>0.630942</v>
      </c>
      <c r="E14" s="0" t="n">
        <v>98.7193</v>
      </c>
      <c r="F14" s="0" t="n">
        <v>0.630958</v>
      </c>
      <c r="G14" s="8" t="n">
        <v>34.2059</v>
      </c>
      <c r="H14" s="0" t="n">
        <v>0.630983</v>
      </c>
      <c r="I14" s="0" t="n">
        <v>638.894</v>
      </c>
      <c r="J14" s="0" t="n">
        <v>0.630945</v>
      </c>
      <c r="K14" s="0" t="n">
        <v>416.266</v>
      </c>
      <c r="L14" s="0" t="n">
        <v>0.630949</v>
      </c>
      <c r="M14" s="0" t="n">
        <v>797.692</v>
      </c>
      <c r="N14" s="7" t="n">
        <v>0.631006</v>
      </c>
      <c r="O14" s="0" t="n">
        <v>603.608</v>
      </c>
      <c r="P14" s="0" t="n">
        <v>0.630947</v>
      </c>
      <c r="Q14" s="0" t="n">
        <v>249.811</v>
      </c>
      <c r="R14" s="0" t="n">
        <v>0.630957</v>
      </c>
      <c r="S14" s="8" t="n">
        <v>309.744</v>
      </c>
    </row>
    <row r="15" customFormat="false" ht="15.75" hidden="false" customHeight="false" outlineLevel="0" collapsed="false">
      <c r="B15" s="7" t="n">
        <v>0.794322</v>
      </c>
      <c r="C15" s="0" t="n">
        <v>50.7185</v>
      </c>
      <c r="D15" s="0" t="n">
        <v>0.794278</v>
      </c>
      <c r="E15" s="0" t="n">
        <v>84.1524</v>
      </c>
      <c r="F15" s="0" t="n">
        <v>0.794323</v>
      </c>
      <c r="G15" s="8" t="n">
        <v>26.5864</v>
      </c>
      <c r="H15" s="0" t="n">
        <v>0.79429</v>
      </c>
      <c r="I15" s="0" t="n">
        <v>506.366</v>
      </c>
      <c r="J15" s="0" t="n">
        <v>0.794338</v>
      </c>
      <c r="K15" s="0" t="n">
        <v>336.046</v>
      </c>
      <c r="L15" s="0" t="n">
        <v>0.794319</v>
      </c>
      <c r="M15" s="0" t="n">
        <v>655.214</v>
      </c>
      <c r="N15" s="7" t="n">
        <v>0.794338</v>
      </c>
      <c r="O15" s="0" t="n">
        <v>485.81</v>
      </c>
      <c r="P15" s="0" t="n">
        <v>0.794294</v>
      </c>
      <c r="Q15" s="0" t="n">
        <v>201.678</v>
      </c>
      <c r="R15" s="0" t="n">
        <v>0.794323</v>
      </c>
      <c r="S15" s="8" t="n">
        <v>253.343</v>
      </c>
    </row>
    <row r="16" customFormat="false" ht="15.75" hidden="false" customHeight="false" outlineLevel="0" collapsed="false">
      <c r="B16" s="7" t="n">
        <v>1.00002</v>
      </c>
      <c r="C16" s="0" t="n">
        <v>41.0427</v>
      </c>
      <c r="D16" s="0" t="n">
        <v>0.999985</v>
      </c>
      <c r="E16" s="0" t="n">
        <v>71.2001</v>
      </c>
      <c r="F16" s="0" t="n">
        <v>0.999972</v>
      </c>
      <c r="G16" s="8" t="n">
        <v>22.0832</v>
      </c>
      <c r="H16" s="0" t="n">
        <v>0.999961</v>
      </c>
      <c r="I16" s="0" t="n">
        <v>441.077</v>
      </c>
      <c r="J16" s="0" t="n">
        <v>0.999999</v>
      </c>
      <c r="K16" s="0" t="n">
        <v>263.571</v>
      </c>
      <c r="L16" s="0" t="n">
        <v>0.999968</v>
      </c>
      <c r="M16" s="0" t="n">
        <v>543.086</v>
      </c>
      <c r="N16" s="7" t="n">
        <v>0.999998</v>
      </c>
      <c r="O16" s="0" t="n">
        <v>408.202</v>
      </c>
      <c r="P16" s="0" t="n">
        <v>0.999974</v>
      </c>
      <c r="Q16" s="0" t="n">
        <v>159.127</v>
      </c>
      <c r="R16" s="0" t="n">
        <v>0.999977</v>
      </c>
      <c r="S16" s="8" t="n">
        <v>205.617</v>
      </c>
    </row>
    <row r="17" customFormat="false" ht="15.75" hidden="false" customHeight="false" outlineLevel="0" collapsed="false">
      <c r="B17" s="7" t="n">
        <v>1.25897</v>
      </c>
      <c r="C17" s="0" t="n">
        <v>33.4651</v>
      </c>
      <c r="D17" s="0" t="n">
        <v>1.25889</v>
      </c>
      <c r="E17" s="0" t="n">
        <v>60.3207</v>
      </c>
      <c r="F17" s="0" t="n">
        <v>1.25892</v>
      </c>
      <c r="G17" s="8" t="n">
        <v>17.821</v>
      </c>
      <c r="H17" s="0" t="n">
        <v>1.25892</v>
      </c>
      <c r="I17" s="0" t="n">
        <v>368.384</v>
      </c>
      <c r="J17" s="0" t="n">
        <v>1.25888</v>
      </c>
      <c r="K17" s="0" t="n">
        <v>212.63</v>
      </c>
      <c r="L17" s="0" t="n">
        <v>1.25892</v>
      </c>
      <c r="M17" s="0" t="n">
        <v>449.367</v>
      </c>
      <c r="N17" s="7" t="n">
        <v>1.25898</v>
      </c>
      <c r="O17" s="0" t="n">
        <v>348.549</v>
      </c>
      <c r="P17" s="0" t="n">
        <v>1.25891</v>
      </c>
      <c r="Q17" s="0" t="n">
        <v>127.042</v>
      </c>
      <c r="R17" s="0" t="n">
        <v>1.25892</v>
      </c>
      <c r="S17" s="8" t="n">
        <v>167.963</v>
      </c>
    </row>
    <row r="18" customFormat="false" ht="15.75" hidden="false" customHeight="false" outlineLevel="0" collapsed="false">
      <c r="B18" s="7" t="n">
        <v>1.58487</v>
      </c>
      <c r="C18" s="0" t="n">
        <v>27.8171</v>
      </c>
      <c r="D18" s="0" t="n">
        <v>1.58487</v>
      </c>
      <c r="E18" s="0" t="n">
        <v>51.9962</v>
      </c>
      <c r="F18" s="0" t="n">
        <v>1.58487</v>
      </c>
      <c r="G18" s="8" t="n">
        <v>14.9259</v>
      </c>
      <c r="H18" s="0" t="n">
        <v>1.58482</v>
      </c>
      <c r="I18" s="0" t="n">
        <v>312.475</v>
      </c>
      <c r="J18" s="0" t="n">
        <v>1.58488</v>
      </c>
      <c r="K18" s="0" t="n">
        <v>173.467</v>
      </c>
      <c r="L18" s="0" t="n">
        <v>1.58483</v>
      </c>
      <c r="M18" s="0" t="n">
        <v>374.17</v>
      </c>
      <c r="N18" s="7" t="n">
        <v>1.58491</v>
      </c>
      <c r="O18" s="0" t="n">
        <v>301.779</v>
      </c>
      <c r="P18" s="0" t="n">
        <v>1.58483</v>
      </c>
      <c r="Q18" s="0" t="n">
        <v>101.758</v>
      </c>
      <c r="R18" s="0" t="n">
        <v>1.58475</v>
      </c>
      <c r="S18" s="8" t="n">
        <v>139.028</v>
      </c>
    </row>
    <row r="19" customFormat="false" ht="15.75" hidden="false" customHeight="false" outlineLevel="0" collapsed="false">
      <c r="B19" s="7" t="n">
        <v>1.99519</v>
      </c>
      <c r="C19" s="0" t="n">
        <v>23.0962</v>
      </c>
      <c r="D19" s="0" t="n">
        <v>1.99511</v>
      </c>
      <c r="E19" s="0" t="n">
        <v>43.6428</v>
      </c>
      <c r="F19" s="0" t="n">
        <v>1.99515</v>
      </c>
      <c r="G19" s="8" t="n">
        <v>12.7347</v>
      </c>
      <c r="H19" s="0" t="n">
        <v>1.99526</v>
      </c>
      <c r="I19" s="0" t="n">
        <v>262.507</v>
      </c>
      <c r="J19" s="0" t="n">
        <v>1.99538</v>
      </c>
      <c r="K19" s="0" t="n">
        <v>138.733</v>
      </c>
      <c r="L19" s="0" t="n">
        <v>1.9952</v>
      </c>
      <c r="M19" s="0" t="n">
        <v>309.093</v>
      </c>
      <c r="N19" s="7" t="n">
        <v>1.99528</v>
      </c>
      <c r="O19" s="0" t="n">
        <v>255.623</v>
      </c>
      <c r="P19" s="0" t="n">
        <v>1.99525</v>
      </c>
      <c r="Q19" s="0" t="n">
        <v>80.0679</v>
      </c>
      <c r="R19" s="0" t="n">
        <v>1.99533</v>
      </c>
      <c r="S19" s="8" t="n">
        <v>114.477</v>
      </c>
    </row>
    <row r="20" customFormat="false" ht="15.75" hidden="false" customHeight="false" outlineLevel="0" collapsed="false">
      <c r="B20" s="7" t="n">
        <v>2.51194</v>
      </c>
      <c r="C20" s="0" t="n">
        <v>19.5055</v>
      </c>
      <c r="D20" s="0" t="n">
        <v>2.51185</v>
      </c>
      <c r="E20" s="0" t="n">
        <v>37.5804</v>
      </c>
      <c r="F20" s="0" t="n">
        <v>2.5118</v>
      </c>
      <c r="G20" s="8" t="n">
        <v>10.8787</v>
      </c>
      <c r="H20" s="0" t="n">
        <v>2.51171</v>
      </c>
      <c r="I20" s="0" t="n">
        <v>216.26</v>
      </c>
      <c r="J20" s="0" t="n">
        <v>2.51185</v>
      </c>
      <c r="K20" s="0" t="n">
        <v>109.414</v>
      </c>
      <c r="L20" s="0" t="n">
        <v>2.51168</v>
      </c>
      <c r="M20" s="0" t="n">
        <v>254.641</v>
      </c>
      <c r="N20" s="7" t="n">
        <v>2.51206</v>
      </c>
      <c r="O20" s="0" t="n">
        <v>214.684</v>
      </c>
      <c r="P20" s="0" t="n">
        <v>2.51198</v>
      </c>
      <c r="Q20" s="0" t="n">
        <v>63.7099</v>
      </c>
      <c r="R20" s="0" t="n">
        <v>2.51198</v>
      </c>
      <c r="S20" s="8" t="n">
        <v>96.4377</v>
      </c>
    </row>
    <row r="21" customFormat="false" ht="15.75" hidden="false" customHeight="false" outlineLevel="0" collapsed="false">
      <c r="B21" s="7" t="n">
        <v>3.16237</v>
      </c>
      <c r="C21" s="0" t="n">
        <v>16.3813</v>
      </c>
      <c r="D21" s="0" t="n">
        <v>3.16225</v>
      </c>
      <c r="E21" s="0" t="n">
        <v>32.1609</v>
      </c>
      <c r="F21" s="0" t="n">
        <v>3.1623</v>
      </c>
      <c r="G21" s="8" t="n">
        <v>9.31496</v>
      </c>
      <c r="H21" s="0" t="n">
        <v>3.16241</v>
      </c>
      <c r="I21" s="0" t="n">
        <v>175.93</v>
      </c>
      <c r="J21" s="0" t="n">
        <v>3.16212</v>
      </c>
      <c r="K21" s="0" t="n">
        <v>86.7032</v>
      </c>
      <c r="L21" s="0" t="n">
        <v>3.16207</v>
      </c>
      <c r="M21" s="0" t="n">
        <v>207.401</v>
      </c>
      <c r="N21" s="7" t="n">
        <v>3.16234</v>
      </c>
      <c r="O21" s="0" t="n">
        <v>180.475</v>
      </c>
      <c r="P21" s="0" t="n">
        <v>3.16227</v>
      </c>
      <c r="Q21" s="0" t="n">
        <v>50.8595</v>
      </c>
      <c r="R21" s="0" t="n">
        <v>3.16237</v>
      </c>
      <c r="S21" s="8" t="n">
        <v>79.9863</v>
      </c>
    </row>
    <row r="22" customFormat="false" ht="15.75" hidden="false" customHeight="false" outlineLevel="0" collapsed="false">
      <c r="B22" s="7" t="n">
        <v>3.98128</v>
      </c>
      <c r="C22" s="0" t="n">
        <v>13.8381</v>
      </c>
      <c r="D22" s="0" t="n">
        <v>3.98088</v>
      </c>
      <c r="E22" s="0" t="n">
        <v>27.8686</v>
      </c>
      <c r="F22" s="0" t="n">
        <v>3.98079</v>
      </c>
      <c r="G22" s="8" t="n">
        <v>7.91454</v>
      </c>
      <c r="H22" s="0" t="n">
        <v>3.98101</v>
      </c>
      <c r="I22" s="0" t="n">
        <v>141.802</v>
      </c>
      <c r="J22" s="0" t="n">
        <v>3.98114</v>
      </c>
      <c r="K22" s="0" t="n">
        <v>70.2837</v>
      </c>
      <c r="L22" s="0" t="n">
        <v>3.98118</v>
      </c>
      <c r="M22" s="0" t="n">
        <v>166.878</v>
      </c>
      <c r="N22" s="7" t="n">
        <v>3.98111</v>
      </c>
      <c r="O22" s="0" t="n">
        <v>151.625</v>
      </c>
      <c r="P22" s="0" t="n">
        <v>3.98102</v>
      </c>
      <c r="Q22" s="0" t="n">
        <v>40.8595</v>
      </c>
      <c r="R22" s="0" t="n">
        <v>3.9812</v>
      </c>
      <c r="S22" s="8" t="n">
        <v>65.9748</v>
      </c>
    </row>
    <row r="23" customFormat="false" ht="15.75" hidden="false" customHeight="false" outlineLevel="0" collapsed="false">
      <c r="B23" s="7" t="n">
        <v>5.01213</v>
      </c>
      <c r="C23" s="0" t="n">
        <v>11.6234</v>
      </c>
      <c r="D23" s="0" t="n">
        <v>5.01178</v>
      </c>
      <c r="E23" s="0" t="n">
        <v>24.1434</v>
      </c>
      <c r="F23" s="0" t="n">
        <v>5.01192</v>
      </c>
      <c r="G23" s="8" t="n">
        <v>6.81193</v>
      </c>
      <c r="H23" s="0" t="n">
        <v>5.01212</v>
      </c>
      <c r="I23" s="0" t="n">
        <v>115.369</v>
      </c>
      <c r="J23" s="0" t="n">
        <v>5.01179</v>
      </c>
      <c r="K23" s="0" t="n">
        <v>56.943</v>
      </c>
      <c r="L23" s="0" t="n">
        <v>5.0118</v>
      </c>
      <c r="M23" s="0" t="n">
        <v>133.917</v>
      </c>
      <c r="N23" s="7" t="n">
        <v>5.01147</v>
      </c>
      <c r="O23" s="0" t="n">
        <v>126.69</v>
      </c>
      <c r="P23" s="0" t="n">
        <v>5.01196</v>
      </c>
      <c r="Q23" s="0" t="n">
        <v>32.9233</v>
      </c>
      <c r="R23" s="0" t="n">
        <v>5.01242</v>
      </c>
      <c r="S23" s="8" t="n">
        <v>54.2265</v>
      </c>
    </row>
    <row r="24" customFormat="false" ht="15.75" hidden="false" customHeight="false" outlineLevel="0" collapsed="false">
      <c r="B24" s="7" t="n">
        <v>6.30946</v>
      </c>
      <c r="C24" s="0" t="n">
        <v>9.69449</v>
      </c>
      <c r="D24" s="0" t="n">
        <v>6.3095</v>
      </c>
      <c r="E24" s="0" t="n">
        <v>20.7071</v>
      </c>
      <c r="F24" s="0" t="n">
        <v>6.30941</v>
      </c>
      <c r="G24" s="8" t="n">
        <v>5.9147</v>
      </c>
      <c r="H24" s="0" t="n">
        <v>6.30993</v>
      </c>
      <c r="I24" s="0" t="n">
        <v>94.1442</v>
      </c>
      <c r="J24" s="0" t="n">
        <v>6.30968</v>
      </c>
      <c r="K24" s="0" t="n">
        <v>47.163</v>
      </c>
      <c r="L24" s="0" t="n">
        <v>6.3095</v>
      </c>
      <c r="M24" s="0" t="n">
        <v>106.649</v>
      </c>
      <c r="N24" s="7" t="n">
        <v>6.30965</v>
      </c>
      <c r="O24" s="0" t="n">
        <v>106.101</v>
      </c>
      <c r="P24" s="0" t="n">
        <v>6.3092</v>
      </c>
      <c r="Q24" s="0" t="n">
        <v>26.7038</v>
      </c>
      <c r="R24" s="0" t="n">
        <v>6.30955</v>
      </c>
      <c r="S24" s="8" t="n">
        <v>44.6602</v>
      </c>
    </row>
    <row r="25" customFormat="false" ht="15.75" hidden="false" customHeight="false" outlineLevel="0" collapsed="false">
      <c r="B25" s="7" t="n">
        <v>7.94343</v>
      </c>
      <c r="C25" s="0" t="n">
        <v>8.12438</v>
      </c>
      <c r="D25" s="0" t="n">
        <v>7.94288</v>
      </c>
      <c r="E25" s="0" t="n">
        <v>17.9192</v>
      </c>
      <c r="F25" s="0" t="n">
        <v>7.94266</v>
      </c>
      <c r="G25" s="8" t="n">
        <v>5.1313</v>
      </c>
      <c r="H25" s="0" t="n">
        <v>7.94339</v>
      </c>
      <c r="I25" s="0" t="n">
        <v>75.7082</v>
      </c>
      <c r="J25" s="0" t="n">
        <v>7.94385</v>
      </c>
      <c r="K25" s="0" t="n">
        <v>39.5158</v>
      </c>
      <c r="L25" s="0" t="n">
        <v>7.94374</v>
      </c>
      <c r="M25" s="0" t="n">
        <v>85.1699</v>
      </c>
      <c r="N25" s="7" t="n">
        <v>7.94308</v>
      </c>
      <c r="O25" s="0" t="n">
        <v>88.5022</v>
      </c>
      <c r="P25" s="0" t="n">
        <v>7.94345</v>
      </c>
      <c r="Q25" s="0" t="n">
        <v>21.9562</v>
      </c>
      <c r="R25" s="0" t="n">
        <v>7.94338</v>
      </c>
      <c r="S25" s="8" t="n">
        <v>36.8817</v>
      </c>
    </row>
    <row r="26" customFormat="false" ht="15.75" hidden="false" customHeight="false" outlineLevel="0" collapsed="false">
      <c r="B26" s="7" t="n">
        <v>10.0001</v>
      </c>
      <c r="C26" s="0" t="n">
        <v>6.80332</v>
      </c>
      <c r="D26" s="0" t="n">
        <v>9.99987</v>
      </c>
      <c r="E26" s="0" t="n">
        <v>15.2524</v>
      </c>
      <c r="F26" s="0" t="n">
        <v>10.0001</v>
      </c>
      <c r="G26" s="8" t="n">
        <v>4.39814</v>
      </c>
      <c r="H26" s="0" t="n">
        <v>10.0002</v>
      </c>
      <c r="I26" s="0" t="n">
        <v>60.7082</v>
      </c>
      <c r="J26" s="0" t="n">
        <v>10.0001</v>
      </c>
      <c r="K26" s="0" t="n">
        <v>33.0573</v>
      </c>
      <c r="L26" s="0" t="n">
        <v>9.99951</v>
      </c>
      <c r="M26" s="0" t="n">
        <v>67.3543</v>
      </c>
      <c r="N26" s="7" t="n">
        <v>10.0003</v>
      </c>
      <c r="O26" s="0" t="n">
        <v>73.511</v>
      </c>
      <c r="P26" s="0" t="n">
        <v>9.99957</v>
      </c>
      <c r="Q26" s="0" t="n">
        <v>18.2571</v>
      </c>
      <c r="R26" s="0" t="n">
        <v>9.99941</v>
      </c>
      <c r="S26" s="8" t="n">
        <v>30.266</v>
      </c>
    </row>
    <row r="27" customFormat="false" ht="15.75" hidden="false" customHeight="false" outlineLevel="0" collapsed="false">
      <c r="B27" s="7" t="n">
        <v>12.5896</v>
      </c>
      <c r="C27" s="0" t="n">
        <v>5.61944</v>
      </c>
      <c r="D27" s="0" t="n">
        <v>12.5886</v>
      </c>
      <c r="E27" s="0" t="n">
        <v>12.9753</v>
      </c>
      <c r="F27" s="0" t="n">
        <v>12.589</v>
      </c>
      <c r="G27" s="8" t="n">
        <v>3.79424</v>
      </c>
      <c r="H27" s="0" t="n">
        <v>12.5897</v>
      </c>
      <c r="I27" s="0" t="n">
        <v>49.0353</v>
      </c>
      <c r="J27" s="0" t="n">
        <v>12.5892</v>
      </c>
      <c r="K27" s="0" t="n">
        <v>27.3575</v>
      </c>
      <c r="L27" s="0" t="n">
        <v>12.5887</v>
      </c>
      <c r="M27" s="0" t="n">
        <v>52.974</v>
      </c>
      <c r="N27" s="7" t="n">
        <v>12.5892</v>
      </c>
      <c r="O27" s="0" t="n">
        <v>60.8149</v>
      </c>
      <c r="P27" s="0" t="n">
        <v>12.5888</v>
      </c>
      <c r="Q27" s="0" t="n">
        <v>15.435</v>
      </c>
      <c r="R27" s="0" t="n">
        <v>12.5893</v>
      </c>
      <c r="S27" s="8" t="n">
        <v>24.8867</v>
      </c>
    </row>
    <row r="28" customFormat="false" ht="15.75" hidden="false" customHeight="false" outlineLevel="0" collapsed="false">
      <c r="B28" s="7" t="n">
        <v>15.8488</v>
      </c>
      <c r="C28" s="0" t="n">
        <v>4.67184</v>
      </c>
      <c r="D28" s="0" t="n">
        <v>15.8488</v>
      </c>
      <c r="E28" s="0" t="n">
        <v>11.0321</v>
      </c>
      <c r="F28" s="0" t="n">
        <v>15.8495</v>
      </c>
      <c r="G28" s="8" t="n">
        <v>3.28773</v>
      </c>
      <c r="H28" s="0" t="n">
        <v>15.8493</v>
      </c>
      <c r="I28" s="0" t="n">
        <v>38.9495</v>
      </c>
      <c r="J28" s="0" t="n">
        <v>15.849</v>
      </c>
      <c r="K28" s="0" t="n">
        <v>22.2018</v>
      </c>
      <c r="L28" s="0" t="n">
        <v>15.8485</v>
      </c>
      <c r="M28" s="0" t="n">
        <v>41.7634</v>
      </c>
      <c r="N28" s="7" t="n">
        <v>15.8493</v>
      </c>
      <c r="O28" s="0" t="n">
        <v>49.5089</v>
      </c>
      <c r="P28" s="0" t="n">
        <v>15.8491</v>
      </c>
      <c r="Q28" s="0" t="n">
        <v>12.908</v>
      </c>
      <c r="R28" s="0" t="n">
        <v>15.8496</v>
      </c>
      <c r="S28" s="8" t="n">
        <v>20.3091</v>
      </c>
    </row>
    <row r="29" customFormat="false" ht="15.75" hidden="false" customHeight="false" outlineLevel="0" collapsed="false">
      <c r="B29" s="7" t="n">
        <v>19.9529</v>
      </c>
      <c r="C29" s="0" t="n">
        <v>3.92823</v>
      </c>
      <c r="D29" s="0" t="n">
        <v>19.9516</v>
      </c>
      <c r="E29" s="0" t="n">
        <v>9.31153</v>
      </c>
      <c r="F29" s="0" t="n">
        <v>19.9532</v>
      </c>
      <c r="G29" s="8" t="n">
        <v>2.83374</v>
      </c>
      <c r="H29" s="0" t="n">
        <v>19.9525</v>
      </c>
      <c r="I29" s="0" t="n">
        <v>30.4969</v>
      </c>
      <c r="J29" s="0" t="n">
        <v>19.9526</v>
      </c>
      <c r="K29" s="0" t="n">
        <v>17.9018</v>
      </c>
      <c r="L29" s="0" t="n">
        <v>19.9517</v>
      </c>
      <c r="M29" s="0" t="n">
        <v>32.8995</v>
      </c>
      <c r="N29" s="7" t="n">
        <v>19.9526</v>
      </c>
      <c r="O29" s="0" t="n">
        <v>39.6994</v>
      </c>
      <c r="P29" s="0" t="n">
        <v>19.9522</v>
      </c>
      <c r="Q29" s="0" t="n">
        <v>10.8249</v>
      </c>
      <c r="R29" s="0" t="n">
        <v>19.9527</v>
      </c>
      <c r="S29" s="8" t="n">
        <v>16.3284</v>
      </c>
    </row>
    <row r="30" customFormat="false" ht="15.75" hidden="false" customHeight="false" outlineLevel="0" collapsed="false">
      <c r="B30" s="7" t="n">
        <v>25.1185</v>
      </c>
      <c r="C30" s="0" t="n">
        <v>3.34772</v>
      </c>
      <c r="D30" s="0" t="n">
        <v>25.1174</v>
      </c>
      <c r="E30" s="0" t="n">
        <v>7.8471</v>
      </c>
      <c r="F30" s="0" t="n">
        <v>25.1177</v>
      </c>
      <c r="G30" s="8" t="n">
        <v>2.4229</v>
      </c>
      <c r="H30" s="0" t="n">
        <v>25.1195</v>
      </c>
      <c r="I30" s="0" t="n">
        <v>23.1405</v>
      </c>
      <c r="J30" s="0" t="n">
        <v>25.1201</v>
      </c>
      <c r="K30" s="0" t="n">
        <v>14.39</v>
      </c>
      <c r="L30" s="0" t="n">
        <v>25.1175</v>
      </c>
      <c r="M30" s="0" t="n">
        <v>25.8067</v>
      </c>
      <c r="N30" s="7" t="n">
        <v>25.1188</v>
      </c>
      <c r="O30" s="0" t="n">
        <v>31.0418</v>
      </c>
      <c r="P30" s="0" t="n">
        <v>25.1184</v>
      </c>
      <c r="Q30" s="0" t="n">
        <v>9.11434</v>
      </c>
      <c r="R30" s="0" t="n">
        <v>25.1199</v>
      </c>
      <c r="S30" s="8" t="n">
        <v>13.0403</v>
      </c>
    </row>
    <row r="31" customFormat="false" ht="15.75" hidden="false" customHeight="false" outlineLevel="0" collapsed="false">
      <c r="B31" s="7" t="n">
        <v>31.6228</v>
      </c>
      <c r="C31" s="0" t="n">
        <v>2.92977</v>
      </c>
      <c r="D31" s="0" t="n">
        <v>31.6217</v>
      </c>
      <c r="E31" s="0" t="n">
        <v>6.51395</v>
      </c>
      <c r="F31" s="0" t="n">
        <v>31.6212</v>
      </c>
      <c r="G31" s="8" t="n">
        <v>2.0483</v>
      </c>
      <c r="H31" s="0" t="n">
        <v>31.6222</v>
      </c>
      <c r="I31" s="0" t="n">
        <v>17.4799</v>
      </c>
      <c r="J31" s="0" t="n">
        <v>31.6234</v>
      </c>
      <c r="K31" s="0" t="n">
        <v>11.5494</v>
      </c>
      <c r="L31" s="0" t="n">
        <v>31.623</v>
      </c>
      <c r="M31" s="0" t="n">
        <v>19.9725</v>
      </c>
      <c r="N31" s="7" t="n">
        <v>31.6234</v>
      </c>
      <c r="O31" s="0" t="n">
        <v>24.1423</v>
      </c>
      <c r="P31" s="0" t="n">
        <v>31.6228</v>
      </c>
      <c r="Q31" s="0" t="n">
        <v>7.65579</v>
      </c>
      <c r="R31" s="0" t="n">
        <v>31.6235</v>
      </c>
      <c r="S31" s="8" t="n">
        <v>10.3866</v>
      </c>
    </row>
    <row r="32" customFormat="false" ht="15.75" hidden="false" customHeight="false" outlineLevel="0" collapsed="false">
      <c r="B32" s="7" t="n">
        <v>39.8116</v>
      </c>
      <c r="C32" s="0" t="n">
        <v>2.6591</v>
      </c>
      <c r="D32" s="0" t="n">
        <v>39.8089</v>
      </c>
      <c r="E32" s="0" t="n">
        <v>5.32286</v>
      </c>
      <c r="F32" s="0" t="n">
        <v>39.8105</v>
      </c>
      <c r="G32" s="8" t="n">
        <v>1.71681</v>
      </c>
      <c r="H32" s="0" t="n">
        <v>39.8105</v>
      </c>
      <c r="I32" s="0" t="n">
        <v>13.1832</v>
      </c>
      <c r="J32" s="0" t="n">
        <v>39.8107</v>
      </c>
      <c r="K32" s="0" t="n">
        <v>9.1919</v>
      </c>
      <c r="L32" s="0" t="n">
        <v>39.8105</v>
      </c>
      <c r="M32" s="0" t="n">
        <v>15.6171</v>
      </c>
      <c r="N32" s="7" t="n">
        <v>39.8126</v>
      </c>
      <c r="O32" s="0" t="n">
        <v>18.861</v>
      </c>
      <c r="P32" s="0" t="n">
        <v>39.8114</v>
      </c>
      <c r="Q32" s="0" t="n">
        <v>6.42292</v>
      </c>
      <c r="R32" s="0" t="n">
        <v>39.8112</v>
      </c>
      <c r="S32" s="8" t="n">
        <v>8.45166</v>
      </c>
    </row>
    <row r="33" customFormat="false" ht="15.75" hidden="false" customHeight="false" outlineLevel="0" collapsed="false">
      <c r="B33" s="7" t="n">
        <v>50.1188</v>
      </c>
      <c r="C33" s="0" t="n">
        <v>2.41907</v>
      </c>
      <c r="D33" s="0" t="n">
        <v>50.1191</v>
      </c>
      <c r="E33" s="0" t="n">
        <v>4.60122</v>
      </c>
      <c r="F33" s="0" t="n">
        <v>50.1178</v>
      </c>
      <c r="G33" s="8" t="n">
        <v>1.38908</v>
      </c>
      <c r="H33" s="0" t="n">
        <v>50.1188</v>
      </c>
      <c r="I33" s="0" t="n">
        <v>9.99508</v>
      </c>
      <c r="J33" s="0" t="n">
        <v>50.1182</v>
      </c>
      <c r="K33" s="0" t="n">
        <v>7.32897</v>
      </c>
      <c r="L33" s="0" t="n">
        <v>50.1196</v>
      </c>
      <c r="M33" s="0" t="n">
        <v>12.2195</v>
      </c>
      <c r="N33" s="7" t="n">
        <v>50.1214</v>
      </c>
      <c r="O33" s="0" t="n">
        <v>14.172</v>
      </c>
      <c r="P33" s="0" t="n">
        <v>50.1189</v>
      </c>
      <c r="Q33" s="0" t="n">
        <v>5.46038</v>
      </c>
      <c r="R33" s="0" t="n">
        <v>50.1191</v>
      </c>
      <c r="S33" s="8" t="n">
        <v>6.86431</v>
      </c>
    </row>
    <row r="34" customFormat="false" ht="15.75" hidden="false" customHeight="false" outlineLevel="0" collapsed="false">
      <c r="B34" s="7" t="n">
        <v>63.0978</v>
      </c>
      <c r="C34" s="0" t="n">
        <v>2.13813</v>
      </c>
      <c r="D34" s="0" t="n">
        <v>63.0932</v>
      </c>
      <c r="E34" s="0" t="n">
        <v>3.90002</v>
      </c>
      <c r="F34" s="0" t="n">
        <v>63.095</v>
      </c>
      <c r="G34" s="8" t="n">
        <v>1.11518</v>
      </c>
      <c r="H34" s="0" t="n">
        <v>63.095</v>
      </c>
      <c r="I34" s="0" t="n">
        <v>7.70213</v>
      </c>
      <c r="J34" s="0" t="n">
        <v>63.0958</v>
      </c>
      <c r="K34" s="0" t="n">
        <v>5.81419</v>
      </c>
      <c r="L34" s="0" t="n">
        <v>63.0963</v>
      </c>
      <c r="M34" s="0" t="n">
        <v>9.50869</v>
      </c>
      <c r="N34" s="7" t="n">
        <v>63.097</v>
      </c>
      <c r="O34" s="0" t="n">
        <v>10.7035</v>
      </c>
      <c r="P34" s="0" t="n">
        <v>63.0929</v>
      </c>
      <c r="Q34" s="0" t="n">
        <v>4.60051</v>
      </c>
      <c r="R34" s="0" t="n">
        <v>63.0969</v>
      </c>
      <c r="S34" s="8" t="n">
        <v>5.57199</v>
      </c>
    </row>
    <row r="35" customFormat="false" ht="15.75" hidden="false" customHeight="false" outlineLevel="0" collapsed="false">
      <c r="B35" s="7" t="n">
        <v>79.4359</v>
      </c>
      <c r="C35" s="0" t="n">
        <v>1.84235</v>
      </c>
      <c r="D35" s="0" t="n">
        <v>79.4301</v>
      </c>
      <c r="E35" s="0" t="n">
        <v>3.2946</v>
      </c>
      <c r="F35" s="0" t="n">
        <v>79.4315</v>
      </c>
      <c r="G35" s="8" t="n">
        <v>0.932694</v>
      </c>
      <c r="H35" s="0" t="n">
        <v>79.4331</v>
      </c>
      <c r="I35" s="0" t="n">
        <v>5.96665</v>
      </c>
      <c r="J35" s="0" t="n">
        <v>79.4345</v>
      </c>
      <c r="K35" s="0" t="n">
        <v>4.58452</v>
      </c>
      <c r="L35" s="0" t="n">
        <v>79.4331</v>
      </c>
      <c r="M35" s="0" t="n">
        <v>7.45306</v>
      </c>
      <c r="N35" s="7" t="n">
        <v>79.4353</v>
      </c>
      <c r="O35" s="0" t="n">
        <v>8.0247</v>
      </c>
      <c r="P35" s="0" t="n">
        <v>79.4342</v>
      </c>
      <c r="Q35" s="0" t="n">
        <v>3.86996</v>
      </c>
      <c r="R35" s="0" t="n">
        <v>79.4331</v>
      </c>
      <c r="S35" s="8" t="n">
        <v>4.51059</v>
      </c>
    </row>
    <row r="36" customFormat="false" ht="15.75" hidden="false" customHeight="false" outlineLevel="0" collapsed="false">
      <c r="B36" s="7" t="n">
        <v>100.004</v>
      </c>
      <c r="C36" s="0" t="n">
        <v>1.66578</v>
      </c>
      <c r="D36" s="0" t="n">
        <v>99.9961</v>
      </c>
      <c r="E36" s="0" t="n">
        <v>2.59331</v>
      </c>
      <c r="F36" s="0" t="n">
        <v>99.9984</v>
      </c>
      <c r="G36" s="8" t="n">
        <v>0.79863</v>
      </c>
      <c r="H36" s="0" t="n">
        <v>100</v>
      </c>
      <c r="I36" s="0" t="n">
        <v>4.54739</v>
      </c>
      <c r="J36" s="0" t="n">
        <v>99.9997</v>
      </c>
      <c r="K36" s="0" t="n">
        <v>3.57512</v>
      </c>
      <c r="L36" s="0" t="n">
        <v>99.9975</v>
      </c>
      <c r="M36" s="0" t="n">
        <v>5.76378</v>
      </c>
      <c r="N36" s="7" t="n">
        <v>100.004</v>
      </c>
      <c r="O36" s="0" t="n">
        <v>6.1076</v>
      </c>
      <c r="P36" s="0" t="n">
        <v>100.002</v>
      </c>
      <c r="Q36" s="0" t="n">
        <v>3.30093</v>
      </c>
      <c r="R36" s="0" t="n">
        <v>99.9999</v>
      </c>
      <c r="S36" s="8" t="n">
        <v>3.55436</v>
      </c>
    </row>
    <row r="37" customFormat="false" ht="15.75" hidden="false" customHeight="false" outlineLevel="0" collapsed="false">
      <c r="B37" s="7" t="n">
        <v>125.898</v>
      </c>
      <c r="C37" s="0" t="n">
        <v>1.52602</v>
      </c>
      <c r="D37" s="0" t="n">
        <v>125.889</v>
      </c>
      <c r="E37" s="0" t="n">
        <v>2.3213</v>
      </c>
      <c r="F37" s="0" t="n">
        <v>125.893</v>
      </c>
      <c r="G37" s="8" t="n">
        <v>0.684757</v>
      </c>
      <c r="H37" s="0" t="n">
        <v>125.894</v>
      </c>
      <c r="I37" s="0" t="n">
        <v>3.51954</v>
      </c>
      <c r="J37" s="0" t="n">
        <v>125.892</v>
      </c>
      <c r="K37" s="0" t="n">
        <v>2.76011</v>
      </c>
      <c r="L37" s="0" t="n">
        <v>125.887</v>
      </c>
      <c r="M37" s="0" t="n">
        <v>4.48097</v>
      </c>
      <c r="N37" s="7" t="n">
        <v>125.892</v>
      </c>
      <c r="O37" s="0" t="n">
        <v>4.80188</v>
      </c>
      <c r="P37" s="0" t="n">
        <v>125.889</v>
      </c>
      <c r="Q37" s="0" t="n">
        <v>2.83385</v>
      </c>
      <c r="R37" s="0" t="n">
        <v>125.893</v>
      </c>
      <c r="S37" s="8" t="n">
        <v>2.88136</v>
      </c>
    </row>
    <row r="38" customFormat="false" ht="15.75" hidden="false" customHeight="false" outlineLevel="0" collapsed="false">
      <c r="B38" s="7" t="n">
        <v>158.495</v>
      </c>
      <c r="C38" s="0" t="n">
        <v>1.24806</v>
      </c>
      <c r="D38" s="0" t="n">
        <v>158.484</v>
      </c>
      <c r="E38" s="0" t="n">
        <v>1.96951</v>
      </c>
      <c r="F38" s="0" t="n">
        <v>158.49</v>
      </c>
      <c r="G38" s="8" t="n">
        <v>0.573941</v>
      </c>
      <c r="H38" s="0" t="n">
        <v>158.489</v>
      </c>
      <c r="I38" s="0" t="n">
        <v>2.77903</v>
      </c>
      <c r="J38" s="0" t="n">
        <v>158.489</v>
      </c>
      <c r="K38" s="0" t="n">
        <v>2.16029</v>
      </c>
      <c r="L38" s="0" t="n">
        <v>158.484</v>
      </c>
      <c r="M38" s="0" t="n">
        <v>3.438</v>
      </c>
      <c r="N38" s="7" t="n">
        <v>158.489</v>
      </c>
      <c r="O38" s="0" t="n">
        <v>3.73262</v>
      </c>
      <c r="P38" s="0" t="n">
        <v>158.489</v>
      </c>
      <c r="Q38" s="0" t="n">
        <v>2.46727</v>
      </c>
      <c r="R38" s="0" t="n">
        <v>158.492</v>
      </c>
      <c r="S38" s="8" t="n">
        <v>2.37416</v>
      </c>
    </row>
    <row r="39" customFormat="false" ht="15.75" hidden="false" customHeight="false" outlineLevel="0" collapsed="false">
      <c r="B39" s="7" t="n">
        <v>199.535</v>
      </c>
      <c r="C39" s="0" t="n">
        <v>1.10232</v>
      </c>
      <c r="D39" s="0" t="n">
        <v>199.522</v>
      </c>
      <c r="E39" s="0" t="n">
        <v>1.65511</v>
      </c>
      <c r="F39" s="0" t="n">
        <v>199.53</v>
      </c>
      <c r="G39" s="8" t="n">
        <v>0.478507</v>
      </c>
      <c r="H39" s="0" t="n">
        <v>199.526</v>
      </c>
      <c r="I39" s="0" t="n">
        <v>2.20698</v>
      </c>
      <c r="J39" s="0" t="n">
        <v>199.528</v>
      </c>
      <c r="K39" s="0" t="n">
        <v>1.68842</v>
      </c>
      <c r="L39" s="0" t="n">
        <v>199.519</v>
      </c>
      <c r="M39" s="0" t="n">
        <v>2.66782</v>
      </c>
      <c r="N39" s="7" t="n">
        <v>199.524</v>
      </c>
      <c r="O39" s="0" t="n">
        <v>2.91142</v>
      </c>
      <c r="P39" s="0" t="n">
        <v>199.519</v>
      </c>
      <c r="Q39" s="0" t="n">
        <v>2.20724</v>
      </c>
      <c r="R39" s="0" t="n">
        <v>199.532</v>
      </c>
      <c r="S39" s="8" t="n">
        <v>1.98128</v>
      </c>
    </row>
    <row r="40" customFormat="false" ht="15.75" hidden="false" customHeight="false" outlineLevel="0" collapsed="false">
      <c r="B40" s="7" t="n">
        <v>251.198</v>
      </c>
      <c r="C40" s="0" t="n">
        <v>0.936841</v>
      </c>
      <c r="D40" s="0" t="n">
        <v>251.183</v>
      </c>
      <c r="E40" s="0" t="n">
        <v>1.33317</v>
      </c>
      <c r="F40" s="0" t="n">
        <v>251.196</v>
      </c>
      <c r="G40" s="8" t="n">
        <v>0.399568</v>
      </c>
      <c r="H40" s="0" t="n">
        <v>251.183</v>
      </c>
      <c r="I40" s="0" t="n">
        <v>1.77647</v>
      </c>
      <c r="J40" s="0" t="n">
        <v>251.191</v>
      </c>
      <c r="K40" s="0" t="n">
        <v>1.34326</v>
      </c>
      <c r="L40" s="0" t="n">
        <v>251.175</v>
      </c>
      <c r="M40" s="0" t="n">
        <v>2.08757</v>
      </c>
      <c r="N40" s="7" t="n">
        <v>251.196</v>
      </c>
      <c r="O40" s="0" t="n">
        <v>2.39671</v>
      </c>
      <c r="P40" s="0" t="n">
        <v>251.176</v>
      </c>
      <c r="Q40" s="0" t="n">
        <v>2.04648</v>
      </c>
      <c r="R40" s="0" t="n">
        <v>251.191</v>
      </c>
      <c r="S40" s="8" t="n">
        <v>1.67346</v>
      </c>
    </row>
    <row r="41" customFormat="false" ht="15.75" hidden="false" customHeight="false" outlineLevel="0" collapsed="false">
      <c r="B41" s="7" t="n">
        <v>316.241</v>
      </c>
      <c r="C41" s="0" t="n">
        <v>0.819722</v>
      </c>
      <c r="D41" s="0" t="n">
        <v>316.223</v>
      </c>
      <c r="E41" s="0" t="n">
        <v>1.1299</v>
      </c>
      <c r="F41" s="0" t="n">
        <v>316.227</v>
      </c>
      <c r="G41" s="8" t="n">
        <v>0.323326</v>
      </c>
      <c r="H41" s="0" t="n">
        <v>316.226</v>
      </c>
      <c r="I41" s="0" t="n">
        <v>1.41229</v>
      </c>
      <c r="J41" s="0" t="n">
        <v>316.223</v>
      </c>
      <c r="K41" s="0" t="n">
        <v>1.0701</v>
      </c>
      <c r="L41" s="0" t="n">
        <v>316.219</v>
      </c>
      <c r="M41" s="0" t="n">
        <v>1.63606</v>
      </c>
      <c r="N41" s="7" t="n">
        <v>316.234</v>
      </c>
      <c r="O41" s="0" t="n">
        <v>1.89903</v>
      </c>
      <c r="P41" s="0" t="n">
        <v>316.22</v>
      </c>
      <c r="Q41" s="0" t="n">
        <v>1.88929</v>
      </c>
      <c r="R41" s="0" t="n">
        <v>316.237</v>
      </c>
      <c r="S41" s="8" t="n">
        <v>1.36444</v>
      </c>
    </row>
    <row r="42" customFormat="false" ht="15.75" hidden="false" customHeight="false" outlineLevel="0" collapsed="false">
      <c r="B42" s="7" t="n">
        <v>398.132</v>
      </c>
      <c r="C42" s="0" t="n">
        <v>0.69581</v>
      </c>
      <c r="D42" s="0" t="n">
        <v>398.12</v>
      </c>
      <c r="E42" s="0" t="n">
        <v>0.936306</v>
      </c>
      <c r="F42" s="0" t="n">
        <v>398.121</v>
      </c>
      <c r="G42" s="8" t="n">
        <v>0.264847</v>
      </c>
      <c r="H42" s="0" t="n">
        <v>398.096</v>
      </c>
      <c r="I42" s="0" t="n">
        <v>1.13139</v>
      </c>
      <c r="J42" s="0" t="n">
        <v>398.106</v>
      </c>
      <c r="K42" s="0" t="n">
        <v>0.849436</v>
      </c>
      <c r="L42" s="0" t="n">
        <v>398.105</v>
      </c>
      <c r="M42" s="0" t="n">
        <v>1.27917</v>
      </c>
      <c r="N42" s="7" t="n">
        <v>398.11</v>
      </c>
      <c r="O42" s="0" t="n">
        <v>1.47339</v>
      </c>
      <c r="P42" s="0" t="n">
        <v>398.095</v>
      </c>
      <c r="Q42" s="0" t="n">
        <v>1.6681</v>
      </c>
      <c r="R42" s="0" t="n">
        <v>398.111</v>
      </c>
      <c r="S42" s="8" t="n">
        <v>1.10575</v>
      </c>
    </row>
    <row r="43" customFormat="false" ht="15.75" hidden="false" customHeight="false" outlineLevel="0" collapsed="false">
      <c r="B43" s="7" t="n">
        <v>501.204</v>
      </c>
      <c r="C43" s="0" t="n">
        <v>0.549806</v>
      </c>
      <c r="D43" s="0" t="n">
        <v>501.175</v>
      </c>
      <c r="E43" s="0" t="n">
        <v>0.83475</v>
      </c>
      <c r="F43" s="0" t="n">
        <v>501.179</v>
      </c>
      <c r="G43" s="8" t="n">
        <v>0.22752</v>
      </c>
      <c r="H43" s="0" t="n">
        <v>501.186</v>
      </c>
      <c r="I43" s="0" t="n">
        <v>0.905944</v>
      </c>
      <c r="J43" s="0" t="n">
        <v>501.171</v>
      </c>
      <c r="K43" s="0" t="n">
        <v>0.675115</v>
      </c>
      <c r="L43" s="0" t="n">
        <v>501.166</v>
      </c>
      <c r="M43" s="0" t="n">
        <v>1.01606</v>
      </c>
      <c r="N43" s="7" t="n">
        <v>501.198</v>
      </c>
      <c r="O43" s="0" t="n">
        <v>1.19691</v>
      </c>
      <c r="P43" s="0" t="n">
        <v>501.195</v>
      </c>
      <c r="Q43" s="0" t="n">
        <v>1.36272</v>
      </c>
      <c r="R43" s="0" t="n">
        <v>501.21</v>
      </c>
      <c r="S43" s="8" t="n">
        <v>0.891833</v>
      </c>
    </row>
    <row r="44" customFormat="false" ht="15.75" hidden="false" customHeight="false" outlineLevel="0" collapsed="false">
      <c r="B44" s="7" t="n">
        <v>630.938</v>
      </c>
      <c r="C44" s="0" t="n">
        <v>0.478368</v>
      </c>
      <c r="D44" s="0" t="n">
        <v>630.937</v>
      </c>
      <c r="E44" s="0" t="n">
        <v>0.678815</v>
      </c>
      <c r="F44" s="0" t="n">
        <v>630.937</v>
      </c>
      <c r="G44" s="8" t="n">
        <v>0.190475</v>
      </c>
      <c r="H44" s="0" t="n">
        <v>630.934</v>
      </c>
      <c r="I44" s="0" t="n">
        <v>0.72363</v>
      </c>
      <c r="J44" s="0" t="n">
        <v>630.946</v>
      </c>
      <c r="K44" s="0" t="n">
        <v>0.529865</v>
      </c>
      <c r="L44" s="0" t="n">
        <v>630.932</v>
      </c>
      <c r="M44" s="0" t="n">
        <v>0.804222</v>
      </c>
      <c r="N44" s="7" t="n">
        <v>630.972</v>
      </c>
      <c r="O44" s="0" t="n">
        <v>0.94186</v>
      </c>
      <c r="P44" s="0" t="n">
        <v>630.965</v>
      </c>
      <c r="Q44" s="0" t="n">
        <v>1.03415</v>
      </c>
      <c r="R44" s="0" t="n">
        <v>630.98</v>
      </c>
      <c r="S44" s="8" t="n">
        <v>0.680812</v>
      </c>
    </row>
    <row r="45" customFormat="false" ht="15.75" hidden="false" customHeight="false" outlineLevel="0" collapsed="false">
      <c r="B45" s="7" t="n">
        <v>794.373</v>
      </c>
      <c r="C45" s="0" t="n">
        <v>0.434877</v>
      </c>
      <c r="D45" s="0" t="n">
        <v>794.295</v>
      </c>
      <c r="E45" s="0" t="n">
        <v>0.539882</v>
      </c>
      <c r="F45" s="0" t="n">
        <v>794.317</v>
      </c>
      <c r="G45" s="8" t="n">
        <v>0.163685</v>
      </c>
      <c r="H45" s="0" t="n">
        <v>794.32</v>
      </c>
      <c r="I45" s="0" t="n">
        <v>0.569778</v>
      </c>
      <c r="J45" s="0" t="n">
        <v>794.35</v>
      </c>
      <c r="K45" s="0" t="n">
        <v>0.453285</v>
      </c>
      <c r="L45" s="0" t="n">
        <v>794.298</v>
      </c>
      <c r="M45" s="0" t="n">
        <v>0.605735</v>
      </c>
      <c r="N45" s="7" t="n">
        <v>794.347</v>
      </c>
      <c r="O45" s="0" t="n">
        <v>0.717039</v>
      </c>
      <c r="P45" s="0" t="n">
        <v>794.315</v>
      </c>
      <c r="Q45" s="0" t="n">
        <v>0.788268</v>
      </c>
      <c r="R45" s="0" t="n">
        <v>794.307</v>
      </c>
      <c r="S45" s="8" t="n">
        <v>0.536692</v>
      </c>
    </row>
    <row r="46" customFormat="false" ht="15.75" hidden="false" customHeight="false" outlineLevel="0" collapsed="false">
      <c r="B46" s="9" t="n">
        <v>1000.07</v>
      </c>
      <c r="C46" s="40" t="n">
        <v>0.362991</v>
      </c>
      <c r="D46" s="40" t="n">
        <v>999.97</v>
      </c>
      <c r="E46" s="40" t="n">
        <v>0.441928</v>
      </c>
      <c r="F46" s="40" t="n">
        <v>1000.01</v>
      </c>
      <c r="G46" s="10" t="n">
        <v>0.137076</v>
      </c>
      <c r="H46" s="0" t="n">
        <v>999.996</v>
      </c>
      <c r="I46" s="0" t="n">
        <v>0.452545</v>
      </c>
      <c r="J46" s="0" t="n">
        <v>999.996</v>
      </c>
      <c r="K46" s="0" t="n">
        <v>0.363192</v>
      </c>
      <c r="L46" s="0" t="n">
        <v>999.961</v>
      </c>
      <c r="M46" s="0" t="n">
        <v>0.473541</v>
      </c>
      <c r="N46" s="9" t="n">
        <v>1000.03</v>
      </c>
      <c r="O46" s="40" t="n">
        <v>0.545295</v>
      </c>
      <c r="P46" s="40" t="n">
        <v>999.984</v>
      </c>
      <c r="Q46" s="40" t="n">
        <v>0.604988</v>
      </c>
      <c r="R46" s="40" t="n">
        <v>1000.05</v>
      </c>
      <c r="S46" s="10" t="n">
        <v>0.416131</v>
      </c>
    </row>
  </sheetData>
  <mergeCells count="5">
    <mergeCell ref="B1:S1"/>
    <mergeCell ref="B2:S2"/>
    <mergeCell ref="B3:G3"/>
    <mergeCell ref="H3:M3"/>
    <mergeCell ref="N3:S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10.5546875" defaultRowHeight="15.75" customHeight="false" zeroHeight="false" outlineLevelRow="0" outlineLevelCol="0"/>
  <cols>
    <col collapsed="false" customWidth="true" hidden="false" outlineLevel="0" max="2" min="2" style="0" width="15.17"/>
  </cols>
  <sheetData>
    <row r="1" customFormat="false" ht="19.7" hidden="false" customHeight="false" outlineLevel="0" collapsed="false">
      <c r="A1" s="1" t="s">
        <v>52</v>
      </c>
      <c r="B1" s="1"/>
      <c r="C1" s="1"/>
      <c r="D1" s="1"/>
      <c r="E1" s="1"/>
      <c r="F1" s="1"/>
      <c r="G1" s="1"/>
      <c r="H1" s="1"/>
    </row>
    <row r="2" customFormat="false" ht="15.75" hidden="false" customHeight="false" outlineLevel="0" collapsed="false">
      <c r="A2" s="61" t="s">
        <v>53</v>
      </c>
      <c r="B2" s="61"/>
      <c r="C2" s="61"/>
      <c r="D2" s="61"/>
      <c r="E2" s="61"/>
      <c r="F2" s="61"/>
      <c r="G2" s="61"/>
      <c r="H2" s="61"/>
    </row>
    <row r="4" customFormat="false" ht="28.9" hidden="false" customHeight="false" outlineLevel="0" collapsed="false">
      <c r="A4" s="62" t="s">
        <v>54</v>
      </c>
      <c r="B4" s="62"/>
      <c r="C4" s="63" t="s">
        <v>55</v>
      </c>
      <c r="D4" s="63"/>
      <c r="E4" s="63"/>
      <c r="F4" s="64" t="s">
        <v>56</v>
      </c>
      <c r="G4" s="65" t="s">
        <v>57</v>
      </c>
      <c r="H4" s="66" t="s">
        <v>58</v>
      </c>
    </row>
    <row r="5" customFormat="false" ht="15.75" hidden="false" customHeight="false" outlineLevel="0" collapsed="false">
      <c r="A5" s="20" t="n">
        <v>0</v>
      </c>
      <c r="B5" s="67" t="s">
        <v>59</v>
      </c>
      <c r="C5" s="0" t="n">
        <v>21.409</v>
      </c>
      <c r="D5" s="0" t="n">
        <v>27.954</v>
      </c>
      <c r="E5" s="0" t="n">
        <v>28.051</v>
      </c>
      <c r="F5" s="0" t="n">
        <v>3</v>
      </c>
      <c r="G5" s="0" t="n">
        <f aca="false">SUM(C5:E5)/3</f>
        <v>25.8046666666667</v>
      </c>
      <c r="H5" s="0" t="n">
        <f aca="false">STDEV(C5,D5,E5)</f>
        <v>3.80706794440725</v>
      </c>
    </row>
    <row r="6" customFormat="false" ht="15.75" hidden="false" customHeight="false" outlineLevel="0" collapsed="false">
      <c r="A6" s="21" t="n">
        <v>0.05</v>
      </c>
      <c r="B6" s="68" t="s">
        <v>59</v>
      </c>
      <c r="C6" s="22" t="n">
        <v>111.12</v>
      </c>
      <c r="D6" s="22" t="n">
        <v>106.41</v>
      </c>
      <c r="E6" s="22" t="n">
        <v>114.54</v>
      </c>
      <c r="F6" s="22" t="n">
        <v>3</v>
      </c>
      <c r="G6" s="22" t="n">
        <f aca="false">SUM(C6:E6)/3</f>
        <v>110.69</v>
      </c>
      <c r="H6" s="69" t="n">
        <f aca="false">STDEV(C6,D6,E6)</f>
        <v>4.08202155800285</v>
      </c>
    </row>
    <row r="7" customFormat="false" ht="16.5" hidden="false" customHeight="true" outlineLevel="0" collapsed="false">
      <c r="A7" s="24" t="n">
        <v>0.1</v>
      </c>
      <c r="B7" s="68" t="s">
        <v>59</v>
      </c>
      <c r="C7" s="22" t="n">
        <v>139.84</v>
      </c>
      <c r="D7" s="22" t="n">
        <v>156.53</v>
      </c>
      <c r="E7" s="22" t="n">
        <v>150.72</v>
      </c>
      <c r="F7" s="22" t="n">
        <v>3</v>
      </c>
      <c r="G7" s="22" t="n">
        <f aca="false">SUM(C7:E7)/3</f>
        <v>149.03</v>
      </c>
      <c r="H7" s="22" t="n">
        <f aca="false">STDEV(C7,D7,E7)</f>
        <v>8.47237274911816</v>
      </c>
    </row>
  </sheetData>
  <mergeCells count="4">
    <mergeCell ref="A1:H1"/>
    <mergeCell ref="A2:H2"/>
    <mergeCell ref="A4:B4"/>
    <mergeCell ref="C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2024-08-04T18:31:56Z</dcterms:created>
  <dc:creator>Jariwala, Megan Anderson</dc:creator>
  <dc:description/>
  <dc:language>en-US</dc:language>
  <cp:lastModifiedBy>Jariwala, Megan Anderson</cp:lastModifiedBy>
  <dcterms:modified xsi:type="dcterms:W3CDTF">2024-08-04T21:08:14Z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